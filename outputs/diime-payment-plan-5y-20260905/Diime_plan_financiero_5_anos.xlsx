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46ca13058b42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6b47f2cb1bc64741"/>
    <x:sheet xmlns:r="http://schemas.openxmlformats.org/officeDocument/2006/relationships" name="Supuestos" sheetId="2" r:id="R646057cfa2554a7c"/>
    <x:sheet xmlns:r="http://schemas.openxmlformats.org/officeDocument/2006/relationships" name="Modelo 5 años" sheetId="3" r:id="R08492f3707554890"/>
    <x:sheet xmlns:r="http://schemas.openxmlformats.org/officeDocument/2006/relationships" name="Unit economics" sheetId="4" r:id="Rfd57031e4eab442a"/>
    <x:sheet xmlns:r="http://schemas.openxmlformats.org/officeDocument/2006/relationships" name="Fuentes" sheetId="5" r:id="R3f071aea317e4e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0">
    <x:numFmt numFmtId="200" formatCode="#,##0"/>
    <x:numFmt numFmtId="201" formatCode="0.0%"/>
    <x:numFmt numFmtId="202" formatCode="€#,##0"/>
    <x:numFmt numFmtId="203" formatCode="0.00x"/>
    <x:numFmt numFmtId="204" formatCode="€0.00"/>
    <x:numFmt numFmtId="205" formatCode="0.00%"/>
    <x:numFmt numFmtId="206" formatCode="0.0x"/>
    <x:numFmt numFmtId="207" formatCode="€#,##0.00"/>
    <x:numFmt numFmtId="208" formatCode="€#,##0;[Red](€#,##0);-"/>
    <x:numFmt numFmtId="209" formatCode="€#,##0.00;[Red](€#,##0.00);-"/>
  </x:numFmts>
  <x:fonts count="12">
    <x:font>
      <x:sz val="11"/>
      <x:name val="Carlito"/>
    </x:font>
    <x:font>
      <x:sz val="10"/>
      <x:color rgb="FF17201C"/>
      <x:name val="Arial"/>
    </x:font>
    <x:font>
      <x:b/>
      <x:sz val="16"/>
      <x:color rgb="FF17201C"/>
      <x:name val="Arial"/>
    </x:font>
    <x:font>
      <x:i/>
      <x:sz val="10"/>
      <x:color rgb="FF66736D"/>
      <x:name val="Arial"/>
    </x:font>
    <x:font>
      <x:sz val="10"/>
      <x:color rgb="FF0000FF"/>
      <x:name val="Arial"/>
    </x:font>
    <x:font>
      <x:b/>
      <x:sz val="10"/>
      <x:color rgb="FFFFFFFF"/>
      <x:name val="Arial"/>
    </x:font>
    <x:font>
      <x:b/>
      <x:sz val="10"/>
      <x:color rgb="FF17201C"/>
      <x:name val="Arial"/>
    </x:font>
    <x:font>
      <x:sz val="10"/>
      <x:color rgb="FF008000"/>
      <x:name val="Arial"/>
    </x:font>
    <x:font>
      <x:b/>
      <x:sz val="10"/>
      <x:color rgb="FF008000"/>
      <x:name val="Arial"/>
    </x:font>
    <x:font>
      <x:b/>
      <x:sz val="10"/>
      <x:color rgb="FF0B8F55"/>
      <x:name val="Arial"/>
    </x:font>
    <x:font>
      <x:b/>
      <x:sz val="10"/>
      <x:color rgb="FF11653F"/>
      <x:name val="Arial"/>
    </x:font>
    <x:font>
      <x:b/>
      <x:sz val="10"/>
      <x:color rgb="FFB42318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F5F7F6"/>
      </x:patternFill>
    </x:fill>
    <x:fill>
      <x:patternFill patternType="solid">
        <x:fgColor rgb="FFEAF2FF"/>
      </x:patternFill>
    </x:fill>
    <x:fill>
      <x:patternFill patternType="solid">
        <x:fgColor rgb="FF11653F"/>
      </x:patternFill>
    </x:fill>
    <x:fill>
      <x:patternFill patternType="solid">
        <x:fgColor rgb="FF183B32"/>
      </x:patternFill>
    </x:fill>
    <x:fill>
      <x:patternFill patternType="solid">
        <x:fgColor rgb="FFEAF7F0"/>
      </x:patternFill>
    </x:fill>
    <x:fill>
      <x:patternFill patternType="solid">
        <x:fgColor rgb="FFFFF4CC"/>
      </x:patternFill>
    </x:fill>
    <x:fill>
      <x:patternFill patternType="solid">
        <x:fgColor rgb="FFFEECEB"/>
      </x:patternFill>
    </x:fill>
  </x:fills>
  <x:borders count="19">
    <x:border/>
    <x:border>
      <x:bottom style="thin">
        <x:color rgb="FF11653F"/>
      </x:bottom>
    </x:border>
    <x:border>
      <x:left style="thin">
        <x:color rgb="FFD8DFDB"/>
      </x:left>
      <x:top style="thin">
        <x:color rgb="FFD8DFDB"/>
      </x:top>
      <x:bottom style="thin">
        <x:color rgb="FFD8DFDB"/>
      </x:bottom>
    </x:border>
    <x:border>
      <x:top style="thin">
        <x:color rgb="FFD8DFDB"/>
      </x:top>
      <x:bottom style="thin">
        <x:color rgb="FFD8DFDB"/>
      </x:bottom>
    </x:border>
    <x:border>
      <x:right style="thin">
        <x:color rgb="FFD8DFDB"/>
      </x:right>
      <x:top style="thin">
        <x:color rgb="FFD8DFDB"/>
      </x:top>
      <x:bottom style="thin">
        <x:color rgb="FFD8DFDB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183B32"/>
      </x:left>
      <x:top style="thin">
        <x:color rgb="FF183B32"/>
      </x:top>
      <x:bottom style="thin">
        <x:color rgb="FF183B32"/>
      </x:bottom>
    </x:border>
    <x:border>
      <x:top style="thin">
        <x:color rgb="FF183B32"/>
      </x:top>
      <x:bottom style="thin">
        <x:color rgb="FF183B32"/>
      </x:bottom>
    </x:border>
    <x:border>
      <x:right style="thin">
        <x:color rgb="FF183B32"/>
      </x:right>
      <x:top style="thin">
        <x:color rgb="FF183B32"/>
      </x:top>
      <x:bottom style="thin">
        <x:color rgb="FF183B32"/>
      </x:bottom>
    </x:border>
    <x:border>
      <x:top style="thin">
        <x:color rgb="FF11653F"/>
      </x:top>
    </x:border>
    <x:border>
      <x:top style="double">
        <x:color rgb="FF11653F"/>
      </x:top>
    </x:border>
    <x:border>
      <x:left style="thin">
        <x:color rgb="FFD8DFDB"/>
      </x:left>
      <x:top style="thin">
        <x:color rgb="FFD8DFDB"/>
      </x:top>
    </x:border>
    <x:border>
      <x:top style="thin">
        <x:color rgb="FFD8DFDB"/>
      </x:top>
    </x:border>
    <x:border>
      <x:right style="thin">
        <x:color rgb="FFD8DFDB"/>
      </x:right>
      <x:top style="thin">
        <x:color rgb="FFD8DFDB"/>
      </x:top>
    </x:border>
    <x:border>
      <x:left style="thin">
        <x:color rgb="FFD8DFDB"/>
      </x:left>
    </x:border>
    <x:border>
      <x:right style="thin">
        <x:color rgb="FFD8DFDB"/>
      </x:right>
    </x:border>
    <x:border>
      <x:left style="thin">
        <x:color rgb="FFD8DFDB"/>
      </x:left>
      <x:bottom style="thin">
        <x:color rgb="FFD8DFDB"/>
      </x:bottom>
    </x:border>
    <x:border>
      <x:bottom style="thin">
        <x:color rgb="FFD8DFDB"/>
      </x:bottom>
    </x:border>
    <x:border>
      <x:right style="thin">
        <x:color rgb="FFD8DFDB"/>
      </x:right>
      <x:bottom style="thin">
        <x:color rgb="FFD8DFDB"/>
      </x:bottom>
    </x:border>
  </x:borders>
  <x:cellStyleXfs count="1">
    <x:xf numFmtId="0" fontId="0" fillId="0" borderId="0"/>
  </x:cellStyleXfs>
  <x:cellXfs count="189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2" fillId="0" borderId="1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3" borderId="3" xfId="0" applyNumberFormat="1" applyFont="1" applyFill="1" applyBorder="1"/>
    <x:xf numFmtId="0" fontId="4" fillId="3" borderId="3" xfId="0" applyNumberFormat="1" applyFont="1" applyFill="1" applyBorder="1"/>
    <x:xf numFmtId="0" fontId="1" fillId="3" borderId="4" xfId="0" applyNumberFormat="1" applyFont="1" applyFill="1" applyBorder="1"/>
    <x:xf numFmtId="0" fontId="4" fillId="3" borderId="4" xfId="0" applyNumberFormat="1" applyFont="1" applyFill="1" applyBorder="1"/>
    <x:xf numFmtId="0" fontId="1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5" fillId="4" borderId="0" xfId="0" applyNumberFormat="1" applyFont="1" applyFill="1" applyBorder="1" applyAlignment="1">
      <x:alignment horizontal="center" vertical="center"/>
    </x:xf>
    <x:xf numFmtId="0" fontId="5" fillId="4" borderId="5" xfId="0" applyNumberFormat="1" applyFont="1" applyFill="1" applyBorder="1" applyAlignment="1">
      <x:alignment horizontal="center" vertical="center"/>
    </x:xf>
    <x:xf numFmtId="0" fontId="1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6" xfId="0" applyNumberFormat="1" applyFont="1" applyFill="1" applyBorder="1"/>
    <x:xf numFmtId="0" fontId="5" fillId="5" borderId="7" xfId="0" applyNumberFormat="1" applyFont="1" applyFill="1" applyBorder="1"/>
    <x:xf numFmtId="0" fontId="5" fillId="5" borderId="8" xfId="0" applyNumberFormat="1" applyFont="1" applyFill="1" applyBorder="1"/>
    <x:xf numFmtId="0" fontId="1" fillId="3" borderId="0" xfId="0" applyNumberFormat="1" applyFont="1" applyFill="1" applyBorder="1"/>
    <x:xf numFmtId="0" fontId="4" fillId="3" borderId="0" xfId="0" applyNumberFormat="1" applyFont="1" applyFill="1" applyBorder="1"/>
    <x:xf numFmtId="0" fontId="6" fillId="0" borderId="0" xfId="0" applyNumberFormat="1" applyFont="1" applyFill="1" applyBorder="1"/>
    <x:xf numFmtId="0" fontId="6" fillId="0" borderId="9" xfId="0" applyNumberFormat="1" applyFont="1" applyFill="1" applyBorder="1"/>
    <x:xf numFmtId="200" fontId="4" fillId="3" borderId="0" xfId="0" applyNumberFormat="1" applyFont="1" applyFill="1" applyBorder="1"/>
    <x:xf numFmtId="200" fontId="6" fillId="0" borderId="9" xfId="0" applyNumberFormat="1" applyFont="1" applyFill="1" applyBorder="1"/>
    <x:xf numFmtId="201" fontId="4" fillId="3" borderId="0" xfId="0" applyNumberFormat="1" applyFont="1" applyFill="1" applyBorder="1"/>
    <x:xf numFmtId="201" fontId="6" fillId="0" borderId="9" xfId="0" applyNumberFormat="1" applyFont="1" applyFill="1" applyBorder="1"/>
    <x:xf numFmtId="202" fontId="4" fillId="3" borderId="0" xfId="0" applyNumberFormat="1" applyFont="1" applyFill="1" applyBorder="1"/>
    <x:xf numFmtId="202" fontId="6" fillId="0" borderId="9" xfId="0" applyNumberFormat="1" applyFont="1" applyFill="1" applyBorder="1"/>
    <x:xf numFmtId="203" fontId="4" fillId="3" borderId="0" xfId="0" applyNumberFormat="1" applyFont="1" applyFill="1" applyBorder="1"/>
    <x:xf numFmtId="203" fontId="6" fillId="0" borderId="9" xfId="0" applyNumberFormat="1" applyFont="1" applyFill="1" applyBorder="1"/>
    <x:xf numFmtId="202" fontId="1" fillId="0" borderId="0" xfId="0" applyNumberFormat="1" applyFont="1" applyFill="1" applyBorder="1"/>
    <x:xf numFmtId="202" fontId="6" fillId="0" borderId="0" xfId="0" applyNumberFormat="1" applyFont="1" applyFill="1" applyBorder="1"/>
    <x:xf numFmtId="204" fontId="4" fillId="3" borderId="0" xfId="0" applyNumberFormat="1" applyFont="1" applyFill="1" applyBorder="1"/>
    <x:xf numFmtId="205" fontId="4" fillId="3" borderId="0" xfId="0" applyNumberFormat="1" applyFont="1" applyFill="1" applyBorder="1"/>
    <x:xf numFmtId="206" fontId="4" fillId="3" borderId="0" xfId="0" applyNumberFormat="1" applyFont="1" applyFill="1" applyBorder="1"/>
    <x:xf numFmtId="207" fontId="4" fillId="3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4" fillId="3" borderId="3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4" fillId="3" borderId="4" xfId="0" applyNumberFormat="1" applyFont="1" applyFill="1" applyBorder="1" applyAlignment="1">
      <x:alignment wrapText="1"/>
    </x:xf>
    <x:xf numFmtId="0" fontId="7" fillId="0" borderId="0" xfId="0" applyNumberFormat="1" applyFont="1" applyFill="1" applyBorder="1"/>
    <x:xf numFmtId="0" fontId="8" fillId="5" borderId="7" xfId="0" applyNumberFormat="1" applyFont="1" applyFill="1" applyBorder="1"/>
    <x:xf numFmtId="0" fontId="8" fillId="5" borderId="8" xfId="0" applyNumberFormat="1" applyFont="1" applyFill="1" applyBorder="1"/>
    <x:xf numFmtId="200" fontId="7" fillId="0" borderId="0" xfId="0" applyNumberFormat="1" applyFont="1" applyFill="1" applyBorder="1"/>
    <x:xf numFmtId="201" fontId="7" fillId="0" borderId="0" xfId="0" applyNumberFormat="1" applyFont="1" applyFill="1" applyBorder="1"/>
    <x:xf numFmtId="200" fontId="1" fillId="0" borderId="0" xfId="0" applyNumberFormat="1" applyFont="1" applyFill="1" applyBorder="1"/>
    <x:xf numFmtId="202" fontId="7" fillId="0" borderId="0" xfId="0" applyNumberFormat="1" applyFont="1" applyFill="1" applyBorder="1"/>
    <x:xf numFmtId="203" fontId="1" fillId="0" borderId="0" xfId="0" applyNumberFormat="1" applyFont="1" applyFill="1" applyBorder="1"/>
    <x:xf numFmtId="205" fontId="1" fillId="0" borderId="0" xfId="0" applyNumberFormat="1" applyFont="1" applyFill="1" applyBorder="1"/>
    <x:xf numFmtId="208" fontId="1" fillId="0" borderId="0" xfId="0" applyNumberFormat="1" applyFont="1" applyFill="1" applyBorder="1"/>
    <x:xf numFmtId="208" fontId="7" fillId="0" borderId="0" xfId="0" applyNumberFormat="1" applyFont="1" applyFill="1" applyBorder="1"/>
    <x:xf numFmtId="201" fontId="1" fillId="0" borderId="0" xfId="0" applyNumberFormat="1" applyFont="1" applyFill="1" applyBorder="1"/>
    <x:xf numFmtId="208" fontId="8" fillId="5" borderId="7" xfId="0" applyNumberFormat="1" applyFont="1" applyFill="1" applyBorder="1"/>
    <x:xf numFmtId="208" fontId="8" fillId="5" borderId="8" xfId="0" applyNumberFormat="1" applyFont="1" applyFill="1" applyBorder="1"/>
    <x:xf numFmtId="208" fontId="6" fillId="0" borderId="0" xfId="0" applyNumberFormat="1" applyFont="1" applyFill="1" applyBorder="1"/>
    <x:xf numFmtId="208" fontId="6" fillId="0" borderId="9" xfId="0" applyNumberFormat="1" applyFont="1" applyFill="1" applyBorder="1"/>
    <x:xf numFmtId="201" fontId="6" fillId="0" borderId="0" xfId="0" applyNumberFormat="1" applyFont="1" applyFill="1" applyBorder="1"/>
    <x:xf numFmtId="0" fontId="6" fillId="0" borderId="10" xfId="0" applyNumberFormat="1" applyFont="1" applyFill="1" applyBorder="1"/>
    <x:xf numFmtId="208" fontId="6" fillId="0" borderId="10" xfId="0" applyNumberFormat="1" applyFont="1" applyFill="1" applyBorder="1"/>
    <x:xf numFmtId="0" fontId="9" fillId="2" borderId="0" xfId="0" applyNumberFormat="1" applyFont="1" applyFill="1" applyBorder="1"/>
    <x:xf numFmtId="208" fontId="1" fillId="6" borderId="0" xfId="0" applyNumberFormat="1" applyFont="1" applyFill="1" applyBorder="1"/>
    <x:xf numFmtId="208" fontId="1" fillId="7" borderId="0" xfId="0" applyNumberFormat="1" applyFont="1" applyFill="1" applyBorder="1"/>
    <x:xf numFmtId="0" fontId="10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0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0" fillId="2" borderId="11" xfId="0" applyNumberFormat="1" applyFont="1" applyFill="1" applyBorder="1"/>
    <x:xf numFmtId="0" fontId="1" fillId="2" borderId="12" xfId="0" applyNumberFormat="1" applyFont="1" applyFill="1" applyBorder="1" applyAlignment="1">
      <x:alignment wrapText="1"/>
    </x:xf>
    <x:xf numFmtId="0" fontId="1" fillId="2" borderId="13" xfId="0" applyNumberFormat="1" applyFont="1" applyFill="1" applyBorder="1" applyAlignment="1">
      <x:alignment wrapText="1"/>
    </x:xf>
    <x:xf numFmtId="0" fontId="10" fillId="2" borderId="14" xfId="0" applyNumberFormat="1" applyFont="1" applyFill="1" applyBorder="1"/>
    <x:xf numFmtId="0" fontId="1" fillId="2" borderId="15" xfId="0" applyNumberFormat="1" applyFont="1" applyFill="1" applyBorder="1" applyAlignment="1">
      <x:alignment wrapText="1"/>
    </x:xf>
    <x:xf numFmtId="0" fontId="10" fillId="2" borderId="16" xfId="0" applyNumberFormat="1" applyFont="1" applyFill="1" applyBorder="1"/>
    <x:xf numFmtId="0" fontId="1" fillId="2" borderId="17" xfId="0" applyNumberFormat="1" applyFont="1" applyFill="1" applyBorder="1" applyAlignment="1">
      <x:alignment wrapText="1"/>
    </x:xf>
    <x:xf numFmtId="0" fontId="1" fillId="2" borderId="18" xfId="0" applyNumberFormat="1" applyFont="1" applyFill="1" applyBorder="1" applyAlignment="1">
      <x:alignment wrapText="1"/>
    </x:xf>
    <x:xf numFmtId="209" fontId="4" fillId="3" borderId="0" xfId="0" applyNumberFormat="1" applyFont="1" applyFill="1" applyBorder="1"/>
    <x:xf numFmtId="209" fontId="1" fillId="0" borderId="0" xfId="0" applyNumberFormat="1" applyFont="1" applyFill="1" applyBorder="1"/>
    <x:xf numFmtId="0" fontId="5" fillId="4" borderId="5" xfId="0" applyNumberFormat="1" applyFont="1" applyFill="1" applyBorder="1" applyAlignment="1">
      <x:alignment horizontal="center" vertical="center" wrapText="1"/>
    </x:xf>
    <x:xf numFmtId="0" fontId="11" fillId="0" borderId="0" xfId="0" applyNumberFormat="1" applyFont="1" applyFill="1" applyBorder="1" applyAlignment="1">
      <x:alignment wrapText="1"/>
    </x:xf>
    <x:xf numFmtId="0" fontId="11" fillId="8" borderId="0" xfId="0" applyNumberFormat="1" applyFont="1" applyFill="1" applyBorder="1" applyAlignment="1">
      <x:alignment wrapText="1"/>
    </x:xf>
    <x:xf numFmtId="0" fontId="1" fillId="8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9" fillId="2" borderId="0" xfId="0" applyNumberFormat="1" applyFont="1" applyFill="1" applyBorder="1" applyAlignment="1">
      <x:alignment vertical="center"/>
    </x:xf>
    <x:xf numFmtId="0" fontId="5" fillId="5" borderId="6" xfId="0" applyNumberFormat="1" applyFont="1" applyFill="1" applyBorder="1" applyAlignment="1">
      <x:alignment vertical="center"/>
    </x:xf>
    <x:xf numFmtId="0" fontId="5" fillId="5" borderId="7" xfId="0" applyNumberFormat="1" applyFont="1" applyFill="1" applyBorder="1" applyAlignment="1">
      <x:alignment vertical="center"/>
    </x:xf>
    <x:xf numFmtId="0" fontId="5" fillId="5" borderId="8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  <x:xf numFmtId="208" fontId="1" fillId="0" borderId="0" xfId="0" applyNumberFormat="1" applyFont="1" applyFill="1" applyBorder="1" applyAlignment="1">
      <x:alignment vertical="center"/>
    </x:xf>
    <x:xf numFmtId="0" fontId="6" fillId="0" borderId="9" xfId="0" applyNumberFormat="1" applyFont="1" applyFill="1" applyBorder="1" applyAlignment="1">
      <x:alignment vertical="center"/>
    </x:xf>
    <x:xf numFmtId="208" fontId="6" fillId="0" borderId="9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208" fontId="6" fillId="0" borderId="0" xfId="0" applyNumberFormat="1" applyFont="1" applyFill="1" applyBorder="1" applyAlignment="1">
      <x:alignment vertical="center"/>
    </x:xf>
    <x:xf numFmtId="202" fontId="6" fillId="0" borderId="9" xfId="0" applyNumberFormat="1" applyFont="1" applyFill="1" applyBorder="1" applyAlignment="1">
      <x:alignment vertical="center"/>
    </x:xf>
    <x:xf numFmtId="202" fontId="6" fillId="0" borderId="0" xfId="0" applyNumberFormat="1" applyFont="1" applyFill="1" applyBorder="1" applyAlignment="1">
      <x:alignment vertical="center"/>
    </x:xf>
    <x:xf numFmtId="208" fontId="1" fillId="6" borderId="0" xfId="0" applyNumberFormat="1" applyFont="1" applyFill="1" applyBorder="1" applyAlignment="1">
      <x:alignment vertical="center"/>
    </x:xf>
    <x:xf numFmtId="208" fontId="1" fillId="7" borderId="0" xfId="0" applyNumberFormat="1" applyFont="1" applyFill="1" applyBorder="1" applyAlignment="1">
      <x:alignment vertical="center"/>
    </x:xf>
    <x:xf numFmtId="0" fontId="10" fillId="2" borderId="11" xfId="0" applyNumberFormat="1" applyFont="1" applyFill="1" applyBorder="1" applyAlignment="1">
      <x:alignment vertical="center"/>
    </x:xf>
    <x:xf numFmtId="0" fontId="1" fillId="2" borderId="12" xfId="0" applyNumberFormat="1" applyFont="1" applyFill="1" applyBorder="1" applyAlignment="1">
      <x:alignment vertical="center" wrapText="1"/>
    </x:xf>
    <x:xf numFmtId="0" fontId="1" fillId="2" borderId="13" xfId="0" applyNumberFormat="1" applyFont="1" applyFill="1" applyBorder="1" applyAlignment="1">
      <x:alignment vertical="center" wrapText="1"/>
    </x:xf>
    <x:xf numFmtId="0" fontId="10" fillId="2" borderId="14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15" xfId="0" applyNumberFormat="1" applyFont="1" applyFill="1" applyBorder="1" applyAlignment="1">
      <x:alignment vertical="center" wrapText="1"/>
    </x:xf>
    <x:xf numFmtId="0" fontId="10" fillId="2" borderId="16" xfId="0" applyNumberFormat="1" applyFont="1" applyFill="1" applyBorder="1" applyAlignment="1">
      <x:alignment vertical="center"/>
    </x:xf>
    <x:xf numFmtId="0" fontId="1" fillId="2" borderId="17" xfId="0" applyNumberFormat="1" applyFont="1" applyFill="1" applyBorder="1" applyAlignment="1">
      <x:alignment vertical="center" wrapText="1"/>
    </x:xf>
    <x:xf numFmtId="0" fontId="1" fillId="2" borderId="18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4" fillId="3" borderId="3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4" fillId="3" borderId="4" xfId="0" applyNumberFormat="1" applyFont="1" applyFill="1" applyBorder="1" applyAlignment="1">
      <x:alignment vertical="center" wrapText="1"/>
    </x:xf>
    <x:xf numFmtId="200" fontId="4" fillId="3" borderId="0" xfId="0" applyNumberFormat="1" applyFont="1" applyFill="1" applyBorder="1" applyAlignment="1">
      <x:alignment vertical="center"/>
    </x:xf>
    <x:xf numFmtId="200" fontId="6" fillId="0" borderId="9" xfId="0" applyNumberFormat="1" applyFont="1" applyFill="1" applyBorder="1" applyAlignment="1">
      <x:alignment vertical="center"/>
    </x:xf>
    <x:xf numFmtId="201" fontId="4" fillId="3" borderId="0" xfId="0" applyNumberFormat="1" applyFont="1" applyFill="1" applyBorder="1" applyAlignment="1">
      <x:alignment vertical="center"/>
    </x:xf>
    <x:xf numFmtId="201" fontId="6" fillId="0" borderId="9" xfId="0" applyNumberFormat="1" applyFont="1" applyFill="1" applyBorder="1" applyAlignment="1">
      <x:alignment vertical="center"/>
    </x:xf>
    <x:xf numFmtId="202" fontId="4" fillId="3" borderId="0" xfId="0" applyNumberFormat="1" applyFont="1" applyFill="1" applyBorder="1" applyAlignment="1">
      <x:alignment vertical="center"/>
    </x:xf>
    <x:xf numFmtId="203" fontId="4" fillId="3" borderId="0" xfId="0" applyNumberFormat="1" applyFont="1" applyFill="1" applyBorder="1" applyAlignment="1">
      <x:alignment vertical="center"/>
    </x:xf>
    <x:xf numFmtId="203" fontId="6" fillId="0" borderId="9" xfId="0" applyNumberFormat="1" applyFont="1" applyFill="1" applyBorder="1" applyAlignment="1">
      <x:alignment vertical="center"/>
    </x:xf>
    <x:xf numFmtId="204" fontId="4" fillId="3" borderId="0" xfId="0" applyNumberFormat="1" applyFont="1" applyFill="1" applyBorder="1" applyAlignment="1">
      <x:alignment vertical="center"/>
    </x:xf>
    <x:xf numFmtId="205" fontId="4" fillId="3" borderId="0" xfId="0" applyNumberFormat="1" applyFont="1" applyFill="1" applyBorder="1" applyAlignment="1">
      <x:alignment vertical="center"/>
    </x:xf>
    <x:xf numFmtId="206" fontId="4" fillId="3" borderId="0" xfId="0" applyNumberFormat="1" applyFont="1" applyFill="1" applyBorder="1" applyAlignment="1">
      <x:alignment vertical="center"/>
    </x:xf>
    <x:xf numFmtId="207" fontId="4" fillId="3" borderId="0" xfId="0" applyNumberFormat="1" applyFont="1" applyFill="1" applyBorder="1" applyAlignment="1">
      <x:alignment vertical="center"/>
    </x:xf>
    <x:xf numFmtId="200" fontId="7" fillId="0" borderId="0" xfId="0" applyNumberFormat="1" applyFont="1" applyFill="1" applyBorder="1" applyAlignment="1">
      <x:alignment vertical="center"/>
    </x:xf>
    <x:xf numFmtId="201" fontId="7" fillId="0" borderId="0" xfId="0" applyNumberFormat="1" applyFont="1" applyFill="1" applyBorder="1" applyAlignment="1">
      <x:alignment vertical="center"/>
    </x:xf>
    <x:xf numFmtId="202" fontId="7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8" fillId="5" borderId="7" xfId="0" applyNumberFormat="1" applyFont="1" applyFill="1" applyBorder="1" applyAlignment="1">
      <x:alignment vertical="center"/>
    </x:xf>
    <x:xf numFmtId="0" fontId="8" fillId="5" borderId="8" xfId="0" applyNumberFormat="1" applyFont="1" applyFill="1" applyBorder="1" applyAlignment="1">
      <x:alignment vertical="center"/>
    </x:xf>
    <x:xf numFmtId="208" fontId="7" fillId="0" borderId="0" xfId="0" applyNumberFormat="1" applyFont="1" applyFill="1" applyBorder="1" applyAlignment="1">
      <x:alignment vertical="center"/>
    </x:xf>
    <x:xf numFmtId="0" fontId="6" fillId="0" borderId="10" xfId="0" applyNumberFormat="1" applyFont="1" applyFill="1" applyBorder="1" applyAlignment="1">
      <x:alignment vertical="center"/>
    </x:xf>
    <x:xf numFmtId="208" fontId="6" fillId="0" borderId="10" xfId="0" applyNumberFormat="1" applyFont="1" applyFill="1" applyBorder="1" applyAlignment="1">
      <x:alignment vertical="center"/>
    </x:xf>
    <x:xf numFmtId="201" fontId="6" fillId="0" borderId="0" xfId="0" applyNumberFormat="1" applyFont="1" applyFill="1" applyBorder="1" applyAlignment="1">
      <x:alignment vertical="center"/>
    </x:xf>
    <x:xf numFmtId="208" fontId="8" fillId="5" borderId="7" xfId="0" applyNumberFormat="1" applyFont="1" applyFill="1" applyBorder="1" applyAlignment="1">
      <x:alignment vertical="center"/>
    </x:xf>
    <x:xf numFmtId="208" fontId="8" fillId="5" borderId="8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209" fontId="4" fillId="3" borderId="0" xfId="0" applyNumberFormat="1" applyFont="1" applyFill="1" applyBorder="1" applyAlignment="1">
      <x:alignment vertical="center"/>
    </x:xf>
    <x:xf numFmtId="209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1" fillId="8" borderId="0" xfId="0" applyNumberFormat="1" applyFont="1" applyFill="1" applyBorder="1" applyAlignment="1">
      <x:alignment vertical="center" wrapText="1"/>
    </x:xf>
    <x:xf numFmtId="0" fontId="1" fillId="8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horizontal="right" vertical="center"/>
    </x:xf>
    <x:xf numFmtId="205" fontId="1" fillId="0" borderId="0" xfId="0" applyNumberFormat="1" applyFont="1" applyFill="1" applyBorder="1" applyAlignment="1">
      <x:alignment horizontal="right" vertical="center"/>
    </x:xf>
    <x:xf numFmtId="208" fontId="1" fillId="0" borderId="0" xfId="0" applyNumberFormat="1" applyFont="1" applyFill="1" applyBorder="1" applyAlignment="1">
      <x:alignment horizontal="right" vertical="center"/>
    </x:xf>
    <x:xf numFmtId="208" fontId="6" fillId="0" borderId="9" xfId="0" applyNumberFormat="1" applyFont="1" applyFill="1" applyBorder="1" applyAlignment="1">
      <x:alignment horizontal="right" vertical="center"/>
    </x:xf>
    <x:xf numFmtId="208" fontId="6" fillId="0" borderId="0" xfId="0" applyNumberFormat="1" applyFont="1" applyFill="1" applyBorder="1" applyAlignment="1">
      <x:alignment horizontal="right" vertical="center"/>
    </x:xf>
    <x:xf numFmtId="200" fontId="7" fillId="0" borderId="0" xfId="0" applyNumberFormat="1" applyFont="1" applyFill="1" applyBorder="1" applyAlignment="1">
      <x:alignment horizontal="right" vertical="center"/>
    </x:xf>
    <x:xf numFmtId="201" fontId="7" fillId="0" borderId="0" xfId="0" applyNumberFormat="1" applyFont="1" applyFill="1" applyBorder="1" applyAlignment="1">
      <x:alignment horizontal="right" vertical="center"/>
    </x:xf>
    <x:xf numFmtId="202" fontId="7" fillId="0" borderId="0" xfId="0" applyNumberFormat="1" applyFont="1" applyFill="1" applyBorder="1" applyAlignment="1">
      <x:alignment horizontal="right" vertical="center"/>
    </x:xf>
    <x:xf numFmtId="203" fontId="1" fillId="0" borderId="0" xfId="0" applyNumberFormat="1" applyFont="1" applyFill="1" applyBorder="1" applyAlignment="1">
      <x:alignment horizontal="right" vertical="center"/>
    </x:xf>
    <x:xf numFmtId="202" fontId="6" fillId="0" borderId="9" xfId="0" applyNumberFormat="1" applyFont="1" applyFill="1" applyBorder="1" applyAlignment="1">
      <x:alignment horizontal="right" vertical="center"/>
    </x:xf>
    <x:xf numFmtId="0" fontId="7" fillId="0" borderId="0" xfId="0" applyNumberFormat="1" applyFont="1" applyFill="1" applyBorder="1" applyAlignment="1">
      <x:alignment horizontal="right" vertical="center"/>
    </x:xf>
    <x:xf numFmtId="0" fontId="8" fillId="5" borderId="7" xfId="0" applyNumberFormat="1" applyFont="1" applyFill="1" applyBorder="1" applyAlignment="1">
      <x:alignment horizontal="right" vertical="center"/>
    </x:xf>
    <x:xf numFmtId="0" fontId="8" fillId="5" borderId="8" xfId="0" applyNumberFormat="1" applyFont="1" applyFill="1" applyBorder="1" applyAlignment="1">
      <x:alignment horizontal="right" vertical="center"/>
    </x:xf>
    <x:xf numFmtId="202" fontId="6" fillId="0" borderId="0" xfId="0" applyNumberFormat="1" applyFont="1" applyFill="1" applyBorder="1" applyAlignment="1">
      <x:alignment horizontal="right" vertical="center"/>
    </x:xf>
    <x:xf numFmtId="208" fontId="7" fillId="0" borderId="0" xfId="0" applyNumberFormat="1" applyFont="1" applyFill="1" applyBorder="1" applyAlignment="1">
      <x:alignment horizontal="right" vertical="center"/>
    </x:xf>
    <x:xf numFmtId="208" fontId="6" fillId="0" borderId="10" xfId="0" applyNumberFormat="1" applyFont="1" applyFill="1" applyBorder="1" applyAlignment="1">
      <x:alignment horizontal="right" vertical="center"/>
    </x:xf>
    <x:xf numFmtId="201" fontId="6" fillId="0" borderId="0" xfId="0" applyNumberFormat="1" applyFont="1" applyFill="1" applyBorder="1" applyAlignment="1">
      <x:alignment horizontal="right" vertical="center"/>
    </x:xf>
    <x:xf numFmtId="208" fontId="8" fillId="5" borderId="7" xfId="0" applyNumberFormat="1" applyFont="1" applyFill="1" applyBorder="1" applyAlignment="1">
      <x:alignment horizontal="right" vertical="center"/>
    </x:xf>
    <x:xf numFmtId="208" fontId="8" fillId="5" borderId="8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horizontal="right" vertical="center"/>
    </x:xf>
    <x:xf numFmtId="0" fontId="5" fillId="4" borderId="5" xfId="0" applyNumberFormat="1" applyFont="1" applyFill="1" applyBorder="1" applyAlignment="1">
      <x:alignment horizontal="right" vertical="center"/>
    </x:xf>
    <x:xf numFmtId="0" fontId="5" fillId="5" borderId="7" xfId="0" applyNumberFormat="1" applyFont="1" applyFill="1" applyBorder="1" applyAlignment="1">
      <x:alignment horizontal="right" vertical="center"/>
    </x:xf>
    <x:xf numFmtId="0" fontId="5" fillId="5" borderId="8" xfId="0" applyNumberFormat="1" applyFont="1" applyFill="1" applyBorder="1" applyAlignment="1">
      <x:alignment horizontal="right" vertical="center"/>
    </x:xf>
    <x:xf numFmtId="200" fontId="4" fillId="3" borderId="0" xfId="0" applyNumberFormat="1" applyFont="1" applyFill="1" applyBorder="1" applyAlignment="1">
      <x:alignment horizontal="right" vertical="center"/>
    </x:xf>
    <x:xf numFmtId="200" fontId="6" fillId="0" borderId="9" xfId="0" applyNumberFormat="1" applyFont="1" applyFill="1" applyBorder="1" applyAlignment="1">
      <x:alignment horizontal="right" vertical="center"/>
    </x:xf>
    <x:xf numFmtId="201" fontId="4" fillId="3" borderId="0" xfId="0" applyNumberFormat="1" applyFont="1" applyFill="1" applyBorder="1" applyAlignment="1">
      <x:alignment horizontal="right" vertical="center"/>
    </x:xf>
    <x:xf numFmtId="201" fontId="6" fillId="0" borderId="9" xfId="0" applyNumberFormat="1" applyFont="1" applyFill="1" applyBorder="1" applyAlignment="1">
      <x:alignment horizontal="right" vertical="center"/>
    </x:xf>
    <x:xf numFmtId="202" fontId="4" fillId="3" borderId="0" xfId="0" applyNumberFormat="1" applyFont="1" applyFill="1" applyBorder="1" applyAlignment="1">
      <x:alignment horizontal="right" vertical="center"/>
    </x:xf>
    <x:xf numFmtId="203" fontId="4" fillId="3" borderId="0" xfId="0" applyNumberFormat="1" applyFont="1" applyFill="1" applyBorder="1" applyAlignment="1">
      <x:alignment horizontal="right" vertical="center"/>
    </x:xf>
    <x:xf numFmtId="203" fontId="6" fillId="0" borderId="9" xfId="0" applyNumberFormat="1" applyFont="1" applyFill="1" applyBorder="1" applyAlignment="1">
      <x:alignment horizontal="right" vertical="center"/>
    </x:xf>
    <x:xf numFmtId="204" fontId="4" fillId="3" borderId="0" xfId="0" applyNumberFormat="1" applyFont="1" applyFill="1" applyBorder="1" applyAlignment="1">
      <x:alignment horizontal="right" vertical="center"/>
    </x:xf>
    <x:xf numFmtId="205" fontId="4" fillId="3" borderId="0" xfId="0" applyNumberFormat="1" applyFont="1" applyFill="1" applyBorder="1" applyAlignment="1">
      <x:alignment horizontal="right" vertical="center"/>
    </x:xf>
    <x:xf numFmtId="206" fontId="4" fillId="3" borderId="0" xfId="0" applyNumberFormat="1" applyFont="1" applyFill="1" applyBorder="1" applyAlignment="1">
      <x:alignment horizontal="right" vertical="center"/>
    </x:xf>
    <x:xf numFmtId="207" fontId="4" fillId="3" borderId="0" xfId="0" applyNumberFormat="1" applyFont="1" applyFill="1" applyBorder="1" applyAlignment="1">
      <x:alignment horizontal="right" vertical="center"/>
    </x:xf>
    <x:xf numFmtId="209" fontId="4" fillId="3" borderId="0" xfId="0" applyNumberFormat="1" applyFont="1" applyFill="1" applyBorder="1" applyAlignment="1">
      <x:alignment horizontal="right" vertical="center"/>
    </x:xf>
    <x:xf numFmtId="209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  <x:dxfs count="6">
    <x:dxf>
      <x:font>
        <x:b/>
        <x:color rgb="FFB42318"/>
      </x:font>
      <x:fill>
        <x:patternFill patternType="solid">
          <x:bgColor rgb="FFFEECEB"/>
        </x:patternFill>
      </x:fill>
    </x:dxf>
    <x:dxf>
      <x:font>
        <x:b/>
        <x:color rgb="FF0B8F55"/>
      </x:font>
      <x:fill>
        <x:patternFill patternType="solid">
          <x:bgColor rgb="FFEAF7F0"/>
        </x:patternFill>
      </x:fill>
    </x:dxf>
    <x:dxf>
      <x:font>
        <x:b/>
        <x:color rgb="FFB42318"/>
      </x:font>
      <x:fill>
        <x:patternFill patternType="solid">
          <x:bgColor rgb="FFFEECEB"/>
        </x:patternFill>
      </x:fill>
    </x:dxf>
    <x:dxf>
      <x:font>
        <x:b/>
        <x:color rgb="FF0B8F55"/>
      </x:font>
      <x:fill>
        <x:patternFill patternType="solid">
          <x:bgColor rgb="FFEAF7F0"/>
        </x:patternFill>
      </x:fill>
    </x:dxf>
    <x:dxf>
      <x:font>
        <x:b/>
        <x:color rgb="FFB42318"/>
      </x:font>
      <x:fill>
        <x:patternFill patternType="solid">
          <x:bgColor rgb="FFFEECEB"/>
        </x:patternFill>
      </x:fill>
    </x:dxf>
    <x:dxf>
      <x:font>
        <x:b/>
        <x:color rgb="FF0B8F55"/>
      </x:font>
      <x:fill>
        <x:patternFill patternType="solid">
          <x:bgColor rgb="FFEAF7F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8a46ccf71f42c6" /><Relationship Type="http://schemas.openxmlformats.org/officeDocument/2006/relationships/theme" Target="/xl/theme/theme1.xml" Id="R6be927fd57ac450d" /><Relationship Type="http://schemas.openxmlformats.org/officeDocument/2006/relationships/sharedStrings" Target="/xl/sharedStrings.xml" Id="Rf4daeaa080724530" /><Relationship Type="http://schemas.openxmlformats.org/officeDocument/2006/relationships/worksheet" Target="/xl/worksheets/sheet1.xml" Id="R6b47f2cb1bc64741" /><Relationship Type="http://schemas.openxmlformats.org/officeDocument/2006/relationships/worksheet" Target="/xl/worksheets/sheet2.xml" Id="R646057cfa2554a7c" /><Relationship Type="http://schemas.openxmlformats.org/officeDocument/2006/relationships/worksheet" Target="/xl/worksheets/sheet3.xml" Id="R08492f3707554890" /><Relationship Type="http://schemas.openxmlformats.org/officeDocument/2006/relationships/worksheet" Target="/xl/worksheets/sheet4.xml" Id="Rfd57031e4eab442a" /><Relationship Type="http://schemas.openxmlformats.org/officeDocument/2006/relationships/worksheet" Target="/xl/worksheets/sheet5.xml" Id="R3f071aea317e4e9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80787484ef8422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Coste anual de pagos (€)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Stripe</c:v>
          </c:tx>
          <c:marker>
            <c:symbol val="none"/>
          </c:marker>
          <c:cat>
            <c:strRef>
              <c:f>'Resumen'!$C$24:$C$28</c:f>
              <c:strCache>
                <c:ptCount val="0"/>
              </c:strCache>
            </c:strRef>
          </c:cat>
          <c:val>
            <c:numRef>
              <c:f>'Resumen'!$D$24:$D$28</c:f>
              <c:numCache>
                <c:formatCode>€#,##0</c:formatCode>
                <c:ptCount val="0"/>
              </c:numCache>
            </c:numRef>
          </c:val>
          <c:smooth val="0"/>
        </c:ser>
        <c:ser>
          <c:idx val="1"/>
          <c:order val="1"/>
          <c:tx>
            <c:v>Mollie</c:v>
          </c:tx>
          <c:marker>
            <c:symbol val="none"/>
          </c:marker>
          <c:cat>
            <c:strRef>
              <c:f>'Resumen'!$C$24:$C$28</c:f>
              <c:strCache>
                <c:ptCount val="0"/>
              </c:strCache>
            </c:strRef>
          </c:cat>
          <c:val>
            <c:numRef>
              <c:f>'Resumen'!$E$24:$E$28</c:f>
              <c:numCache>
                <c:formatCode>€#,##0</c:formatCode>
                <c:ptCount val="0"/>
              </c:numCache>
            </c:numRef>
          </c:val>
          <c:smooth val="0"/>
        </c:ser>
        <c:ser>
          <c:idx val="2"/>
          <c:order val="2"/>
          <c:tx>
            <c:v>Lemonway</c:v>
          </c:tx>
          <c:marker>
            <c:symbol val="none"/>
          </c:marker>
          <c:cat>
            <c:strRef>
              <c:f>'Resumen'!$C$24:$C$28</c:f>
              <c:strCache>
                <c:ptCount val="0"/>
              </c:strCache>
            </c:strRef>
          </c:cat>
          <c:val>
            <c:numRef>
              <c:f>'Resumen'!$F$24:$F$28</c:f>
              <c:numCache>
                <c:formatCode>€#,##0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€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10</xdr:col>
      <xdr:colOff>0</xdr:colOff>
      <xdr:row>6</xdr:row>
      <xdr:rowOff>0</xdr:rowOff>
    </xdr:from>
    <xdr:to>
      <xdr:col>18</xdr:col>
      <xdr:colOff>0</xdr:colOff>
      <xdr:row>21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80787484ef8422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b10b44c491e424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48" hidden="0" customWidth="1"/>
    <x:col min="4" max="4" width="16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8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</x:cols>
  <x:sheetData>
    <x:row r="1">
      <x:c r="A1" s="1"/>
      <x:c r="B1" s="1"/>
      <x:c r="C1" s="86"/>
      <x:c r="D1" s="86"/>
      <x:c r="E1" s="86"/>
      <x:c r="F1" s="86"/>
      <x:c r="G1" s="86"/>
      <x:c r="H1" s="86"/>
      <x:c r="I1" s="86"/>
      <x:c r="J1" s="86"/>
      <x:c r="K1" s="86"/>
      <x:c r="L1" s="86"/>
      <x:c r="M1" s="86"/>
      <x:c r="N1" s="86"/>
      <x:c r="O1" s="86"/>
      <x:c r="P1" s="86"/>
      <x:c r="Q1" s="86"/>
      <x:c r="R1" s="86"/>
    </x:row>
    <x:row r="2">
      <x:c r="A2" s="1"/>
      <x:c r="B2" s="1"/>
      <x:c r="C2" s="87" t="str">
        <x:v>Diime — Proyección financiera 2027–2031</x:v>
      </x:c>
      <x:c r="D2" s="88"/>
      <x:c r="E2" s="88"/>
      <x:c r="F2" s="88"/>
      <x:c r="G2" s="88"/>
      <x:c r="H2" s="88"/>
      <x:c r="I2" s="88"/>
      <x:c r="J2" s="88"/>
      <x:c r="K2" s="88"/>
      <x:c r="L2" s="88"/>
      <x:c r="M2" s="88"/>
      <x:c r="N2" s="88"/>
      <x:c r="O2" s="88"/>
      <x:c r="P2" s="88"/>
      <x:c r="Q2" s="88"/>
      <x:c r="R2" s="88"/>
    </x:row>
    <x:row r="3">
      <x:c r="A3" s="1"/>
      <x:c r="B3" s="1"/>
      <x:c r="C3" s="89" t="str">
        <x:v>Modelo ilustrativo y editable. Caso inicial: Base, Stripe y comisiones del 10% al cliente y al proveedor con IVA incluido.</x:v>
      </x:c>
      <x:c r="D3" s="89"/>
      <x:c r="E3" s="89"/>
      <x:c r="F3" s="89"/>
      <x:c r="G3" s="89"/>
      <x:c r="H3" s="89"/>
      <x:c r="I3" s="89"/>
      <x:c r="J3" s="89"/>
      <x:c r="K3" s="89"/>
      <x:c r="L3" s="89"/>
      <x:c r="M3" s="89"/>
      <x:c r="N3" s="89"/>
      <x:c r="O3" s="89"/>
      <x:c r="P3" s="89"/>
      <x:c r="Q3" s="89"/>
      <x:c r="R3" s="89"/>
    </x:row>
    <x:row r="4">
      <x:c r="A4" s="1"/>
      <x:c r="B4" s="1"/>
      <x:c r="C4" s="86"/>
      <x:c r="D4" s="86"/>
      <x:c r="E4" s="86"/>
      <x:c r="F4" s="86"/>
      <x:c r="G4" s="86"/>
      <x:c r="H4" s="86"/>
      <x:c r="I4" s="86"/>
      <x:c r="J4" s="86"/>
      <x:c r="K4" s="86"/>
      <x:c r="L4" s="86"/>
      <x:c r="M4" s="86"/>
      <x:c r="N4" s="86"/>
      <x:c r="O4" s="86"/>
      <x:c r="P4" s="86"/>
      <x:c r="Q4" s="86"/>
      <x:c r="R4" s="86"/>
    </x:row>
    <x:row r="5">
      <x:c r="A5" s="1"/>
      <x:c r="B5" s="1"/>
      <x:c r="C5" s="86"/>
      <x:c r="D5" s="86"/>
      <x:c r="E5" s="86"/>
      <x:c r="F5" s="86"/>
      <x:c r="G5" s="86"/>
      <x:c r="H5" s="86"/>
      <x:c r="I5" s="86"/>
      <x:c r="J5" s="86"/>
      <x:c r="K5" s="86"/>
      <x:c r="L5" s="86"/>
      <x:c r="M5" s="86"/>
      <x:c r="N5" s="86"/>
      <x:c r="O5" s="86"/>
      <x:c r="P5" s="86"/>
      <x:c r="Q5" s="86"/>
      <x:c r="R5" s="86"/>
    </x:row>
    <x:row r="6">
      <x:c r="A6" s="1"/>
      <x:c r="B6" s="1"/>
      <x:c r="C6" s="90" t="str">
        <x:v>Escenario</x:v>
      </x:c>
      <x:c r="D6" s="91" t="str">
        <x:f>'Supuestos'!D6</x:f>
        <x:v>Base</x:v>
      </x:c>
      <x:c r="E6" s="90" t="str">
        <x:v>Proveedor de pagos</x:v>
      </x:c>
      <x:c r="F6" s="90" t="str">
        <x:f>'Supuestos'!G6</x:f>
        <x:v>Stripe</x:v>
      </x:c>
      <x:c r="G6" s="90" t="str">
        <x:v>IVA incluido</x:v>
      </x:c>
      <x:c r="H6" s="90" t="str">
        <x:f>'Supuestos'!J6</x:f>
        <x:v>Sí</x:v>
      </x:c>
      <x:c r="I6" s="90" t="str"/>
      <x:c r="J6" s="86"/>
      <x:c r="K6" s="86"/>
      <x:c r="L6" s="86"/>
      <x:c r="M6" s="86"/>
      <x:c r="N6" s="86"/>
      <x:c r="O6" s="86"/>
      <x:c r="P6" s="86"/>
      <x:c r="Q6" s="86"/>
      <x:c r="R6" s="86"/>
    </x:row>
    <x:row r="7">
      <x:c r="A7" s="1"/>
      <x:c r="B7" s="1"/>
      <x:c r="C7" s="86"/>
      <x:c r="D7" s="86"/>
      <x:c r="E7" s="86"/>
      <x:c r="F7" s="86"/>
      <x:c r="G7" s="86"/>
      <x:c r="H7" s="86"/>
      <x:c r="I7" s="86"/>
      <x:c r="J7" s="86"/>
      <x:c r="K7" s="86"/>
      <x:c r="L7" s="86"/>
      <x:c r="M7" s="86"/>
      <x:c r="N7" s="86"/>
      <x:c r="O7" s="86"/>
      <x:c r="P7" s="86"/>
      <x:c r="Q7" s="86"/>
      <x:c r="R7" s="86"/>
    </x:row>
    <x:row r="8">
      <x:c r="A8" s="1"/>
      <x:c r="B8" s="1"/>
      <x:c r="C8" s="92" t="str">
        <x:v>Proyección anual</x:v>
      </x:c>
      <x:c r="D8" s="93"/>
      <x:c r="E8" s="93"/>
      <x:c r="F8" s="93"/>
      <x:c r="G8" s="93"/>
      <x:c r="H8" s="93"/>
      <x:c r="I8" s="94"/>
      <x:c r="J8" s="86"/>
      <x:c r="K8" s="86"/>
      <x:c r="L8" s="86"/>
      <x:c r="M8" s="86"/>
      <x:c r="N8" s="86"/>
      <x:c r="O8" s="86"/>
      <x:c r="P8" s="86"/>
      <x:c r="Q8" s="86"/>
      <x:c r="R8" s="86"/>
    </x:row>
    <x:row r="9">
      <x:c r="A9" s="1"/>
      <x:c r="B9" s="1"/>
      <x:c r="C9" s="86"/>
      <x:c r="D9" s="86"/>
      <x:c r="E9" s="86"/>
      <x:c r="F9" s="86"/>
      <x:c r="G9" s="86"/>
      <x:c r="H9" s="86"/>
      <x:c r="I9" s="86"/>
      <x:c r="J9" s="86"/>
      <x:c r="K9" s="86"/>
      <x:c r="L9" s="86"/>
      <x:c r="M9" s="86"/>
      <x:c r="N9" s="86"/>
      <x:c r="O9" s="86"/>
      <x:c r="P9" s="86"/>
      <x:c r="Q9" s="86"/>
      <x:c r="R9" s="86"/>
    </x:row>
    <x:row r="10">
      <x:c r="A10" s="1"/>
      <x:c r="B10" s="1"/>
      <x:c r="C10" s="17" t="str">
        <x:v>Métrica</x:v>
      </x:c>
      <x:c r="D10" s="17" t="str">
        <x:v>Unidad</x:v>
      </x:c>
      <x:c r="E10" s="17" t="n">
        <x:v>2027</x:v>
      </x:c>
      <x:c r="F10" s="17" t="n">
        <x:v>2028</x:v>
      </x:c>
      <x:c r="G10" s="17" t="n">
        <x:v>2029</x:v>
      </x:c>
      <x:c r="H10" s="17" t="n">
        <x:v>2030</x:v>
      </x:c>
      <x:c r="I10" s="17" t="n">
        <x:v>2031</x:v>
      </x:c>
      <x:c r="J10" s="86"/>
      <x:c r="K10" s="86"/>
      <x:c r="L10" s="86"/>
      <x:c r="M10" s="86"/>
      <x:c r="N10" s="86"/>
      <x:c r="O10" s="86"/>
      <x:c r="P10" s="86"/>
      <x:c r="Q10" s="86"/>
      <x:c r="R10" s="86"/>
    </x:row>
    <x:row r="11">
      <x:c r="A11" s="1"/>
      <x:c r="B11" s="1"/>
      <x:c r="C11" s="86" t="str">
        <x:v>Trabajos pagados</x:v>
      </x:c>
      <x:c r="D11" s="86" t="str">
        <x:v>nº</x:v>
      </x:c>
      <x:c r="E11" s="151" t="n">
        <x:f>'Modelo 5 años'!E13</x:f>
        <x:v>36</x:v>
      </x:c>
      <x:c r="F11" s="151" t="n">
        <x:f>'Modelo 5 años'!F13</x:f>
        <x:v>300</x:v>
      </x:c>
      <x:c r="G11" s="151" t="n">
        <x:f>'Modelo 5 años'!G13</x:f>
        <x:v>1500</x:v>
      </x:c>
      <x:c r="H11" s="151" t="n">
        <x:f>'Modelo 5 años'!H13</x:f>
        <x:v>5250</x:v>
      </x:c>
      <x:c r="I11" s="151" t="n">
        <x:f>'Modelo 5 años'!I13</x:f>
        <x:v>12000</x:v>
      </x:c>
      <x:c r="J11" s="86"/>
      <x:c r="K11" s="86"/>
      <x:c r="L11" s="86"/>
      <x:c r="M11" s="86"/>
      <x:c r="N11" s="86"/>
      <x:c r="O11" s="86"/>
      <x:c r="P11" s="86"/>
      <x:c r="Q11" s="86"/>
      <x:c r="R11" s="86"/>
    </x:row>
    <x:row r="12">
      <x:c r="A12" s="1"/>
      <x:c r="B12" s="1"/>
      <x:c r="C12" s="86" t="str">
        <x:v>GMV</x:v>
      </x:c>
      <x:c r="D12" s="86" t="str">
        <x:v>€</x:v>
      </x:c>
      <x:c r="E12" s="152" t="n">
        <x:f>'Modelo 5 años'!E17</x:f>
        <x:v>54000</x:v>
      </x:c>
      <x:c r="F12" s="152" t="n">
        <x:f>'Modelo 5 años'!F17</x:f>
        <x:v>463500</x:v>
      </x:c>
      <x:c r="G12" s="152" t="n">
        <x:f>'Modelo 5 años'!G17</x:f>
        <x:v>2387025</x:v>
      </x:c>
      <x:c r="H12" s="152" t="n">
        <x:f>'Modelo 5 años'!H17</x:f>
        <x:v>8605222.5</x:v>
      </x:c>
      <x:c r="I12" s="152" t="n">
        <x:f>'Modelo 5 años'!I17</x:f>
        <x:v>20259120</x:v>
      </x:c>
      <x:c r="J12" s="86"/>
      <x:c r="K12" s="86"/>
      <x:c r="L12" s="86"/>
      <x:c r="M12" s="86"/>
      <x:c r="N12" s="86"/>
      <x:c r="O12" s="86"/>
      <x:c r="P12" s="86"/>
      <x:c r="Q12" s="86"/>
      <x:c r="R12" s="86"/>
    </x:row>
    <x:row r="13">
      <x:c r="A13" s="1"/>
      <x:c r="B13" s="1"/>
      <x:c r="C13" s="86" t="str">
        <x:v>Ingresos netos de IVA</x:v>
      </x:c>
      <x:c r="D13" s="86" t="str">
        <x:v>€</x:v>
      </x:c>
      <x:c r="E13" s="152" t="n">
        <x:f>'Modelo 5 años'!E28</x:f>
        <x:v>7620.247933884298</x:v>
      </x:c>
      <x:c r="F13" s="152" t="n">
        <x:f>'Modelo 5 años'!F28</x:f>
        <x:v>74696.28099173553</x:v>
      </x:c>
      <x:c r="G13" s="152" t="n">
        <x:f>'Modelo 5 años'!G28</x:f>
        <x:v>384685.847107438</x:v>
      </x:c>
      <x:c r="H13" s="152" t="n">
        <x:f>'Modelo 5 años'!H28</x:f>
        <x:v>1386792.055785124</x:v>
      </x:c>
      <x:c r="I13" s="152" t="n">
        <x:f>'Modelo 5 años'!I28</x:f>
        <x:v>3264899.504132231</x:v>
      </x:c>
      <x:c r="J13" s="86"/>
      <x:c r="K13" s="86"/>
      <x:c r="L13" s="86"/>
      <x:c r="M13" s="86"/>
      <x:c r="N13" s="86"/>
      <x:c r="O13" s="86"/>
      <x:c r="P13" s="86"/>
      <x:c r="Q13" s="86"/>
      <x:c r="R13" s="86"/>
    </x:row>
    <x:row r="14">
      <x:c r="A14" s="1"/>
      <x:c r="B14" s="1"/>
      <x:c r="C14" s="86" t="str">
        <x:v>Coste del proveedor de pagos</x:v>
      </x:c>
      <x:c r="D14" s="86" t="str">
        <x:v>€</x:v>
      </x:c>
      <x:c r="E14" s="152" t="n">
        <x:f>'Modelo 5 años'!E68</x:f>
        <x:v>1094.6287499999999</x:v>
      </x:c>
      <x:c r="F14" s="152" t="n">
        <x:f>'Modelo 5 años'!F68</x:f>
        <x:v>9345.438750000001</x:v>
      </x:c>
      <x:c r="G14" s="152" t="n">
        <x:f>'Modelo 5 años'!G68</x:f>
        <x:v>48026.0945625</x:v>
      </x:c>
      <x:c r="H14" s="152" t="n">
        <x:f>'Modelo 5 años'!H68</x:f>
        <x:v>172774.86935624998</x:v>
      </x:c>
      <x:c r="I14" s="152" t="n">
        <x:f>'Modelo 5 años'!I68</x:f>
        <x:v>405935.0094</x:v>
      </x:c>
      <x:c r="J14" s="86"/>
      <x:c r="K14" s="86"/>
      <x:c r="L14" s="86"/>
      <x:c r="M14" s="86"/>
      <x:c r="N14" s="86"/>
      <x:c r="O14" s="86"/>
      <x:c r="P14" s="86"/>
      <x:c r="Q14" s="86"/>
      <x:c r="R14" s="86"/>
    </x:row>
    <x:row r="15">
      <x:c r="A15" s="1"/>
      <x:c r="B15" s="1"/>
      <x:c r="C15" s="86" t="str">
        <x:v>Coste de pagos / GMV</x:v>
      </x:c>
      <x:c r="D15" s="86" t="str">
        <x:v>%</x:v>
      </x:c>
      <x:c r="E15" s="153" t="n">
        <x:f>'Modelo 5 años'!E69</x:f>
        <x:v>0.020270902777777777</x:v>
      </x:c>
      <x:c r="F15" s="153" t="n">
        <x:f>'Modelo 5 años'!F69</x:f>
        <x:v>0.020162758899676378</x:v>
      </x:c>
      <x:c r="G15" s="153" t="n">
        <x:f>'Modelo 5 años'!G69</x:f>
        <x:v>0.0201196445627926</x:v>
      </x:c>
      <x:c r="H15" s="153" t="n">
        <x:f>'Modelo 5 años'!H69</x:f>
        <x:v>0.020077908427847155</x:v>
      </x:c>
      <x:c r="I15" s="153" t="n">
        <x:f>'Modelo 5 años'!I69</x:f>
        <x:v>0.02003714916541291</x:v>
      </x:c>
      <x:c r="J15" s="86"/>
      <x:c r="K15" s="86"/>
      <x:c r="L15" s="86"/>
      <x:c r="M15" s="86"/>
      <x:c r="N15" s="86"/>
      <x:c r="O15" s="86"/>
      <x:c r="P15" s="86"/>
      <x:c r="Q15" s="86"/>
      <x:c r="R15" s="86"/>
    </x:row>
    <x:row r="16">
      <x:c r="A16" s="1"/>
      <x:c r="B16" s="1"/>
      <x:c r="C16" s="86" t="str">
        <x:v>Margen de contribución</x:v>
      </x:c>
      <x:c r="D16" s="86" t="str">
        <x:v>€</x:v>
      </x:c>
      <x:c r="E16" s="154" t="n">
        <x:f>'Modelo 5 años'!E72</x:f>
        <x:v>6255.619183884298</x:v>
      </x:c>
      <x:c r="F16" s="154" t="n">
        <x:f>'Modelo 5 años'!F72</x:f>
        <x:v>63033.34224173553</x:v>
      </x:c>
      <x:c r="G16" s="154" t="n">
        <x:f>'Modelo 5 años'!G72</x:f>
        <x:v>324724.627544938</x:v>
      </x:c>
      <x:c r="H16" s="154" t="n">
        <x:f>'Modelo 5 años'!H72</x:f>
        <x:v>1170991.073928874</x:v>
      </x:c>
      <x:c r="I16" s="154" t="n">
        <x:f>'Modelo 5 años'!I72</x:f>
        <x:v>2757668.8947322313</x:v>
      </x:c>
      <x:c r="J16" s="86"/>
      <x:c r="K16" s="86"/>
      <x:c r="L16" s="86"/>
      <x:c r="M16" s="86"/>
      <x:c r="N16" s="86"/>
      <x:c r="O16" s="86"/>
      <x:c r="P16" s="86"/>
      <x:c r="Q16" s="86"/>
      <x:c r="R16" s="86"/>
    </x:row>
    <x:row r="17">
      <x:c r="A17" s="1"/>
      <x:c r="B17" s="1"/>
      <x:c r="C17" s="99" t="str">
        <x:v>EBITDA</x:v>
      </x:c>
      <x:c r="D17" s="99" t="str">
        <x:v>€</x:v>
      </x:c>
      <x:c r="E17" s="155" t="n">
        <x:f>'Modelo 5 años'!E80</x:f>
        <x:v>-223744.3808161157</x:v>
      </x:c>
      <x:c r="F17" s="155" t="n">
        <x:f>'Modelo 5 años'!F80</x:f>
        <x:v>-411966.65775826445</x:v>
      </x:c>
      <x:c r="G17" s="155" t="n">
        <x:f>'Modelo 5 años'!G80</x:f>
        <x:v>-560275.372455062</x:v>
      </x:c>
      <x:c r="H17" s="155" t="n">
        <x:f>'Modelo 5 años'!H80</x:f>
        <x:v>-384008.926071126</x:v>
      </x:c>
      <x:c r="I17" s="155" t="n">
        <x:f>'Modelo 5 años'!I80</x:f>
        <x:v>407668.8947322313</x:v>
      </x:c>
      <x:c r="J17" s="86"/>
      <x:c r="K17" s="86"/>
      <x:c r="L17" s="86"/>
      <x:c r="M17" s="86"/>
      <x:c r="N17" s="86"/>
      <x:c r="O17" s="86"/>
      <x:c r="P17" s="86"/>
      <x:c r="Q17" s="86"/>
      <x:c r="R17" s="86"/>
    </x:row>
    <x:row r="18">
      <x:c r="A18" s="1"/>
      <x:c r="B18" s="1"/>
      <x:c r="C18" s="101" t="str">
        <x:v>EBITDA acumulado</x:v>
      </x:c>
      <x:c r="D18" s="101" t="str">
        <x:v>€</x:v>
      </x:c>
      <x:c r="E18" s="156" t="n">
        <x:f>'Modelo 5 años'!E82</x:f>
        <x:v>-223744.3808161157</x:v>
      </x:c>
      <x:c r="F18" s="156" t="n">
        <x:f>'Modelo 5 años'!F82</x:f>
        <x:v>-635711.0385743801</x:v>
      </x:c>
      <x:c r="G18" s="156" t="n">
        <x:f>'Modelo 5 años'!G82</x:f>
        <x:v>-1195986.4110294422</x:v>
      </x:c>
      <x:c r="H18" s="156" t="n">
        <x:f>'Modelo 5 años'!H82</x:f>
        <x:v>-1579995.3371005682</x:v>
      </x:c>
      <x:c r="I18" s="156" t="n">
        <x:f>'Modelo 5 años'!I82</x:f>
        <x:v>-1172326.442368337</x:v>
      </x:c>
      <x:c r="J18" s="86"/>
      <x:c r="K18" s="86"/>
      <x:c r="L18" s="86"/>
      <x:c r="M18" s="86"/>
      <x:c r="N18" s="86"/>
      <x:c r="O18" s="86"/>
      <x:c r="P18" s="86"/>
      <x:c r="Q18" s="86"/>
      <x:c r="R18" s="86"/>
    </x:row>
    <x:row r="19">
      <x:c r="A19" s="1"/>
      <x:c r="B19" s="1"/>
      <x:c r="C19" s="86"/>
      <x:c r="D19" s="86"/>
      <x:c r="E19" s="86"/>
      <x:c r="F19" s="86"/>
      <x:c r="G19" s="86"/>
      <x:c r="H19" s="86"/>
      <x:c r="I19" s="86"/>
      <x:c r="J19" s="86"/>
      <x:c r="K19" s="86"/>
      <x:c r="L19" s="86"/>
      <x:c r="M19" s="86"/>
      <x:c r="N19" s="86"/>
      <x:c r="O19" s="86"/>
      <x:c r="P19" s="86"/>
      <x:c r="Q19" s="86"/>
      <x:c r="R19" s="86"/>
    </x:row>
    <x:row r="20">
      <x:c r="A20" s="1"/>
      <x:c r="B20" s="1"/>
      <x:c r="C20" s="86"/>
      <x:c r="D20" s="86"/>
      <x:c r="E20" s="86"/>
      <x:c r="F20" s="86"/>
      <x:c r="G20" s="86"/>
      <x:c r="H20" s="86"/>
      <x:c r="I20" s="86"/>
      <x:c r="J20" s="86"/>
      <x:c r="K20" s="86"/>
      <x:c r="L20" s="86"/>
      <x:c r="M20" s="86"/>
      <x:c r="N20" s="86"/>
      <x:c r="O20" s="86"/>
      <x:c r="P20" s="86"/>
      <x:c r="Q20" s="86"/>
      <x:c r="R20" s="86"/>
    </x:row>
    <x:row r="21">
      <x:c r="A21" s="1"/>
      <x:c r="B21" s="1"/>
      <x:c r="C21" s="92" t="str">
        <x:v>Coste anual por proveedor de pagos</x:v>
      </x:c>
      <x:c r="D21" s="93"/>
      <x:c r="E21" s="93"/>
      <x:c r="F21" s="94"/>
      <x:c r="G21" s="86"/>
      <x:c r="H21" s="86"/>
      <x:c r="I21" s="86"/>
      <x:c r="J21" s="86"/>
      <x:c r="K21" s="86"/>
      <x:c r="L21" s="86"/>
      <x:c r="M21" s="86"/>
      <x:c r="N21" s="86"/>
      <x:c r="O21" s="86"/>
      <x:c r="P21" s="86"/>
      <x:c r="Q21" s="86"/>
      <x:c r="R21" s="86"/>
    </x:row>
    <x:row r="22">
      <x:c r="A22" s="1"/>
      <x:c r="B22" s="1"/>
      <x:c r="C22" s="86"/>
      <x:c r="D22" s="86"/>
      <x:c r="E22" s="86"/>
      <x:c r="F22" s="86"/>
      <x:c r="G22" s="86"/>
      <x:c r="H22" s="86"/>
      <x:c r="I22" s="86"/>
      <x:c r="J22" s="86"/>
      <x:c r="K22" s="86"/>
      <x:c r="L22" s="86"/>
      <x:c r="M22" s="86"/>
      <x:c r="N22" s="86"/>
      <x:c r="O22" s="86"/>
      <x:c r="P22" s="86"/>
      <x:c r="Q22" s="86"/>
      <x:c r="R22" s="86"/>
    </x:row>
    <x:row r="23">
      <x:c r="A23" s="1"/>
      <x:c r="B23" s="1"/>
      <x:c r="C23" s="17" t="str">
        <x:v>Año</x:v>
      </x:c>
      <x:c r="D23" s="17" t="str">
        <x:v>Stripe</x:v>
      </x:c>
      <x:c r="E23" s="17" t="str">
        <x:v>Mollie</x:v>
      </x:c>
      <x:c r="F23" s="17" t="str">
        <x:v>Lemonway</x:v>
      </x:c>
      <x:c r="G23" s="86"/>
      <x:c r="H23" s="17" t="str">
        <x:v>Proveedor</x:v>
      </x:c>
      <x:c r="I23" s="17" t="str">
        <x:v>Coste 5 años</x:v>
      </x:c>
      <x:c r="J23" s="17" t="str">
        <x:v>Ahorro vs Stripe</x:v>
      </x:c>
      <x:c r="K23" s="86"/>
      <x:c r="L23" s="86"/>
      <x:c r="M23" s="86"/>
      <x:c r="N23" s="86"/>
      <x:c r="O23" s="86"/>
      <x:c r="P23" s="86"/>
      <x:c r="Q23" s="86"/>
      <x:c r="R23" s="86"/>
    </x:row>
    <x:row r="24">
      <x:c r="A24" s="1"/>
      <x:c r="B24" s="1"/>
      <x:c r="C24" s="86" t="n">
        <x:f>'Modelo 5 años'!E7</x:f>
        <x:v>2027</x:v>
      </x:c>
      <x:c r="D24" s="96" t="n">
        <x:f>'Modelo 5 años'!E45</x:f>
        <x:v>1094.6287499999999</x:v>
      </x:c>
      <x:c r="E24" s="96" t="n">
        <x:f>'Modelo 5 años'!E54</x:f>
        <x:v>951.2330000000001</x:v>
      </x:c>
      <x:c r="F24" s="96" t="n">
        <x:f>'Modelo 5 años'!E64</x:f>
        <x:v>16345.9</x:v>
      </x:c>
      <x:c r="G24" s="86"/>
      <x:c r="H24" s="99" t="str">
        <x:v>Stripe</x:v>
      </x:c>
      <x:c r="I24" s="103" t="n">
        <x:f>SUM(D24:D28)</x:f>
        <x:v>637176.0408187499</x:v>
      </x:c>
      <x:c r="J24" s="103" t="n">
        <x:v>0</x:v>
      </x:c>
      <x:c r="K24" s="86"/>
      <x:c r="L24" s="86"/>
      <x:c r="M24" s="86"/>
      <x:c r="N24" s="86"/>
      <x:c r="O24" s="86"/>
      <x:c r="P24" s="86"/>
      <x:c r="Q24" s="86"/>
      <x:c r="R24" s="86"/>
    </x:row>
    <x:row r="25">
      <x:c r="A25" s="1"/>
      <x:c r="B25" s="1"/>
      <x:c r="C25" s="86" t="n">
        <x:f>'Modelo 5 años'!F7</x:f>
        <x:v>2028</x:v>
      </x:c>
      <x:c r="D25" s="96" t="n">
        <x:f>'Modelo 5 años'!F45</x:f>
        <x:v>9345.438750000001</x:v>
      </x:c>
      <x:c r="E25" s="96" t="n">
        <x:f>'Modelo 5 años'!F54</x:f>
        <x:v>8123.540999999999</x:v>
      </x:c>
      <x:c r="F25" s="96" t="n">
        <x:f>'Modelo 5 años'!F64</x:f>
        <x:v>16292.849999999999</x:v>
      </x:c>
      <x:c r="G25" s="86"/>
      <x:c r="H25" s="101" t="str">
        <x:v>Mollie</x:v>
      </x:c>
      <x:c r="I25" s="104" t="n">
        <x:f>SUM(E24:E28)</x:f>
        <x:v>553926.017755</x:v>
      </x:c>
      <x:c r="J25" s="104" t="n">
        <x:f>$I$24-I25</x:f>
        <x:v>83250.02306374989</x:v>
      </x:c>
      <x:c r="K25" s="86"/>
      <x:c r="L25" s="86"/>
      <x:c r="M25" s="86"/>
      <x:c r="N25" s="86"/>
      <x:c r="O25" s="86"/>
      <x:c r="P25" s="86"/>
      <x:c r="Q25" s="86"/>
      <x:c r="R25" s="86"/>
    </x:row>
    <x:row r="26">
      <x:c r="A26" s="1"/>
      <x:c r="B26" s="1"/>
      <x:c r="C26" s="86" t="n">
        <x:f>'Modelo 5 años'!G7</x:f>
        <x:v>2029</x:v>
      </x:c>
      <x:c r="D26" s="96" t="n">
        <x:f>'Modelo 5 años'!G45</x:f>
        <x:v>48026.0945625</x:v>
      </x:c>
      <x:c r="E26" s="96" t="n">
        <x:f>'Modelo 5 años'!G54</x:f>
        <x:v>41748.59865</x:v>
      </x:c>
      <x:c r="F26" s="96" t="n">
        <x:f>'Modelo 5 años'!G64</x:f>
        <x:v>41505.5025</x:v>
      </x:c>
      <x:c r="G26" s="86"/>
      <x:c r="H26" s="101" t="str">
        <x:v>Lemonway</x:v>
      </x:c>
      <x:c r="I26" s="104" t="n">
        <x:f>SUM(F24:F28)</x:f>
        <x:v>469201.79675</x:v>
      </x:c>
      <x:c r="J26" s="104" t="n">
        <x:f>$I$24-I26</x:f>
        <x:v>167974.24406874995</x:v>
      </x:c>
      <x:c r="K26" s="86"/>
      <x:c r="L26" s="86"/>
      <x:c r="M26" s="86"/>
      <x:c r="N26" s="86"/>
      <x:c r="O26" s="86"/>
      <x:c r="P26" s="86"/>
      <x:c r="Q26" s="86"/>
      <x:c r="R26" s="86"/>
    </x:row>
    <x:row r="27">
      <x:c r="A27" s="1"/>
      <x:c r="B27" s="1"/>
      <x:c r="C27" s="86" t="n">
        <x:f>'Modelo 5 años'!H7</x:f>
        <x:v>2030</x:v>
      </x:c>
      <x:c r="D27" s="96" t="n">
        <x:f>'Modelo 5 años'!H45</x:f>
        <x:v>172774.86935624998</x:v>
      </x:c>
      <x:c r="E27" s="96" t="n">
        <x:f>'Modelo 5 años'!H54</x:f>
        <x:v>150197.799185</x:v>
      </x:c>
      <x:c r="F27" s="96" t="n">
        <x:f>'Modelo 5 años'!H64</x:f>
        <x:v>122382.19225</x:v>
      </x:c>
      <x:c r="G27" s="86"/>
      <x:c r="H27" s="86"/>
      <x:c r="I27" s="86"/>
      <x:c r="J27" s="86"/>
      <x:c r="K27" s="86"/>
      <x:c r="L27" s="86"/>
      <x:c r="M27" s="86"/>
      <x:c r="N27" s="86"/>
      <x:c r="O27" s="86"/>
      <x:c r="P27" s="86"/>
      <x:c r="Q27" s="86"/>
      <x:c r="R27" s="86"/>
    </x:row>
    <x:row r="28">
      <x:c r="A28" s="1"/>
      <x:c r="B28" s="1"/>
      <x:c r="C28" s="86" t="n">
        <x:f>'Modelo 5 años'!I7</x:f>
        <x:v>2031</x:v>
      </x:c>
      <x:c r="D28" s="96" t="n">
        <x:f>'Modelo 5 años'!I45</x:f>
        <x:v>405935.0094</x:v>
      </x:c>
      <x:c r="E28" s="96" t="n">
        <x:f>'Modelo 5 años'!I54</x:f>
        <x:v>352904.84592</x:v>
      </x:c>
      <x:c r="F28" s="96" t="n">
        <x:f>'Modelo 5 años'!I64</x:f>
        <x:v>272675.35199999996</x:v>
      </x:c>
      <x:c r="G28" s="86"/>
      <x:c r="H28" s="86"/>
      <x:c r="I28" s="86"/>
      <x:c r="J28" s="86"/>
      <x:c r="K28" s="86"/>
      <x:c r="L28" s="86"/>
      <x:c r="M28" s="86"/>
      <x:c r="N28" s="86"/>
      <x:c r="O28" s="86"/>
      <x:c r="P28" s="86"/>
      <x:c r="Q28" s="86"/>
      <x:c r="R28" s="86"/>
    </x:row>
    <x:row r="29">
      <x:c r="A29" s="1"/>
      <x:c r="B29" s="1"/>
      <x:c r="C29" s="86"/>
      <x:c r="D29" s="86"/>
      <x:c r="E29" s="86"/>
      <x:c r="F29" s="86"/>
      <x:c r="G29" s="86"/>
      <x:c r="H29" s="86"/>
      <x:c r="I29" s="86"/>
      <x:c r="J29" s="86"/>
      <x:c r="K29" s="86"/>
      <x:c r="L29" s="86"/>
      <x:c r="M29" s="86"/>
      <x:c r="N29" s="86"/>
      <x:c r="O29" s="86"/>
      <x:c r="P29" s="86"/>
      <x:c r="Q29" s="86"/>
      <x:c r="R29" s="86"/>
    </x:row>
    <x:row r="30">
      <x:c r="A30" s="1"/>
      <x:c r="B30" s="1"/>
      <x:c r="C30" s="86"/>
      <x:c r="D30" s="86"/>
      <x:c r="E30" s="86"/>
      <x:c r="F30" s="86"/>
      <x:c r="G30" s="86"/>
      <x:c r="H30" s="86"/>
      <x:c r="I30" s="86"/>
      <x:c r="J30" s="86"/>
      <x:c r="K30" s="86"/>
      <x:c r="L30" s="86"/>
      <x:c r="M30" s="86"/>
      <x:c r="N30" s="86"/>
      <x:c r="O30" s="86"/>
      <x:c r="P30" s="86"/>
      <x:c r="Q30" s="86"/>
      <x:c r="R30" s="86"/>
    </x:row>
    <x:row r="31">
      <x:c r="A31" s="1"/>
      <x:c r="B31" s="1"/>
      <x:c r="C31" s="92" t="str">
        <x:v>Impacto en el business plan</x:v>
      </x:c>
      <x:c r="D31" s="93"/>
      <x:c r="E31" s="93"/>
      <x:c r="F31" s="93"/>
      <x:c r="G31" s="93"/>
      <x:c r="H31" s="93"/>
      <x:c r="I31" s="93"/>
      <x:c r="J31" s="94"/>
      <x:c r="K31" s="86"/>
      <x:c r="L31" s="86"/>
      <x:c r="M31" s="86"/>
      <x:c r="N31" s="86"/>
      <x:c r="O31" s="86"/>
      <x:c r="P31" s="86"/>
      <x:c r="Q31" s="86"/>
      <x:c r="R31" s="86"/>
    </x:row>
    <x:row r="32">
      <x:c r="A32" s="1"/>
      <x:c r="B32" s="1"/>
      <x:c r="C32" s="86"/>
      <x:c r="D32" s="86"/>
      <x:c r="E32" s="86"/>
      <x:c r="F32" s="86"/>
      <x:c r="G32" s="86"/>
      <x:c r="H32" s="86"/>
      <x:c r="I32" s="86"/>
      <x:c r="J32" s="86"/>
      <x:c r="K32" s="86"/>
      <x:c r="L32" s="86"/>
      <x:c r="M32" s="86"/>
      <x:c r="N32" s="86"/>
      <x:c r="O32" s="86"/>
      <x:c r="P32" s="86"/>
      <x:c r="Q32" s="86"/>
      <x:c r="R32" s="86"/>
    </x:row>
    <x:row r="33">
      <x:c r="A33" s="1"/>
      <x:c r="B33" s="1"/>
      <x:c r="C33" s="86" t="str">
        <x:v>GMV acumulado</x:v>
      </x:c>
      <x:c r="D33" s="86" t="str">
        <x:v>€</x:v>
      </x:c>
      <x:c r="E33" s="98" t="n">
        <x:f>SUM('Modelo 5 años'!E17:I17)</x:f>
        <x:v>31768867.5</x:v>
      </x:c>
      <x:c r="F33" s="86"/>
      <x:c r="G33" s="86"/>
      <x:c r="H33" s="86"/>
      <x:c r="I33" s="86"/>
      <x:c r="J33" s="86"/>
      <x:c r="K33" s="86"/>
      <x:c r="L33" s="86"/>
      <x:c r="M33" s="86"/>
      <x:c r="N33" s="86"/>
      <x:c r="O33" s="86"/>
      <x:c r="P33" s="86"/>
      <x:c r="Q33" s="86"/>
      <x:c r="R33" s="86"/>
    </x:row>
    <x:row r="34">
      <x:c r="A34" s="1"/>
      <x:c r="B34" s="1"/>
      <x:c r="C34" s="86" t="str">
        <x:v>Comisiones brutas acumuladas</x:v>
      </x:c>
      <x:c r="D34" s="86" t="str">
        <x:v>€</x:v>
      </x:c>
      <x:c r="E34" s="98" t="n">
        <x:f>SUM('Modelo 5 años'!E26:I26)</x:f>
        <x:v>6193619.6625</x:v>
      </x:c>
      <x:c r="F34" s="86"/>
      <x:c r="G34" s="86"/>
      <x:c r="H34" s="86"/>
      <x:c r="I34" s="86"/>
      <x:c r="J34" s="86"/>
      <x:c r="K34" s="86"/>
      <x:c r="L34" s="86"/>
      <x:c r="M34" s="86"/>
      <x:c r="N34" s="86"/>
      <x:c r="O34" s="86"/>
      <x:c r="P34" s="86"/>
      <x:c r="Q34" s="86"/>
      <x:c r="R34" s="86"/>
    </x:row>
    <x:row r="35">
      <x:c r="A35" s="1"/>
      <x:c r="B35" s="1"/>
      <x:c r="C35" s="86" t="str">
        <x:v>IVA incluido en comisiones</x:v>
      </x:c>
      <x:c r="D35" s="86" t="str">
        <x:v>€</x:v>
      </x:c>
      <x:c r="E35" s="98" t="n">
        <x:f>SUM('Modelo 5 años'!E27:I27)</x:f>
        <x:v>1074925.7265495867</x:v>
      </x:c>
      <x:c r="F35" s="86"/>
      <x:c r="G35" s="86"/>
      <x:c r="H35" s="86"/>
      <x:c r="I35" s="86"/>
      <x:c r="J35" s="86"/>
      <x:c r="K35" s="86"/>
      <x:c r="L35" s="86"/>
      <x:c r="M35" s="86"/>
      <x:c r="N35" s="86"/>
      <x:c r="O35" s="86"/>
      <x:c r="P35" s="86"/>
      <x:c r="Q35" s="86"/>
      <x:c r="R35" s="86"/>
    </x:row>
    <x:row r="36">
      <x:c r="A36" s="1"/>
      <x:c r="B36" s="1"/>
      <x:c r="C36" s="86" t="str">
        <x:v>Ingresos netos acumulados</x:v>
      </x:c>
      <x:c r="D36" s="86" t="str">
        <x:v>€</x:v>
      </x:c>
      <x:c r="E36" s="98" t="n">
        <x:f>SUM('Modelo 5 años'!E28:I28)</x:f>
        <x:v>5118693.935950413</x:v>
      </x:c>
      <x:c r="F36" s="86"/>
      <x:c r="G36" s="86"/>
      <x:c r="H36" s="86"/>
      <x:c r="I36" s="86"/>
      <x:c r="J36" s="86"/>
      <x:c r="K36" s="86"/>
      <x:c r="L36" s="86"/>
      <x:c r="M36" s="86"/>
      <x:c r="N36" s="86"/>
      <x:c r="O36" s="86"/>
      <x:c r="P36" s="86"/>
      <x:c r="Q36" s="86"/>
      <x:c r="R36" s="86"/>
    </x:row>
    <x:row r="37">
      <x:c r="A37" s="1"/>
      <x:c r="B37" s="1"/>
      <x:c r="C37" s="86" t="str">
        <x:v>Ingreso neto adicional por subir proveedor del 5% al 10%</x:v>
      </x:c>
      <x:c r="D37" s="86" t="str">
        <x:v>€</x:v>
      </x:c>
      <x:c r="E37" s="105" t="n">
        <x:f>SUM('Modelo 5 años'!E30:I30)</x:f>
        <x:v>1272839.1105371898</x:v>
      </x:c>
      <x:c r="F37" s="86"/>
      <x:c r="G37" s="86"/>
      <x:c r="H37" s="86"/>
      <x:c r="I37" s="86"/>
      <x:c r="J37" s="86"/>
      <x:c r="K37" s="86"/>
      <x:c r="L37" s="86"/>
      <x:c r="M37" s="86"/>
      <x:c r="N37" s="86"/>
      <x:c r="O37" s="86"/>
      <x:c r="P37" s="86"/>
      <x:c r="Q37" s="86"/>
      <x:c r="R37" s="86"/>
    </x:row>
    <x:row r="38">
      <x:c r="A38" s="1"/>
      <x:c r="B38" s="1"/>
      <x:c r="C38" s="86" t="str">
        <x:v>Coste Stripe acumulado</x:v>
      </x:c>
      <x:c r="D38" s="86" t="str">
        <x:v>€</x:v>
      </x:c>
      <x:c r="E38" s="98" t="n">
        <x:f>SUM('Modelo 5 años'!E45:I45)</x:f>
        <x:v>637176.0408187499</x:v>
      </x:c>
      <x:c r="F38" s="86"/>
      <x:c r="G38" s="86"/>
      <x:c r="H38" s="86"/>
      <x:c r="I38" s="86"/>
      <x:c r="J38" s="86"/>
      <x:c r="K38" s="86"/>
      <x:c r="L38" s="86"/>
      <x:c r="M38" s="86"/>
      <x:c r="N38" s="86"/>
      <x:c r="O38" s="86"/>
      <x:c r="P38" s="86"/>
      <x:c r="Q38" s="86"/>
      <x:c r="R38" s="86"/>
    </x:row>
    <x:row r="39">
      <x:c r="A39" s="1"/>
      <x:c r="B39" s="1"/>
      <x:c r="C39" s="86" t="str">
        <x:v>Ahorro acumulado Mollie vs Stripe</x:v>
      </x:c>
      <x:c r="D39" s="86" t="str">
        <x:v>€</x:v>
      </x:c>
      <x:c r="E39" s="98" t="n">
        <x:f>E38-SUM('Modelo 5 años'!E54:I54)</x:f>
        <x:v>83250.02306374989</x:v>
      </x:c>
      <x:c r="F39" s="86"/>
      <x:c r="G39" s="86"/>
      <x:c r="H39" s="86"/>
      <x:c r="I39" s="86"/>
      <x:c r="J39" s="86"/>
      <x:c r="K39" s="86"/>
      <x:c r="L39" s="86"/>
      <x:c r="M39" s="86"/>
      <x:c r="N39" s="86"/>
      <x:c r="O39" s="86"/>
      <x:c r="P39" s="86"/>
      <x:c r="Q39" s="86"/>
      <x:c r="R39" s="86"/>
    </x:row>
    <x:row r="40">
      <x:c r="A40" s="1"/>
      <x:c r="B40" s="1"/>
      <x:c r="C40" s="86" t="str">
        <x:v>Ahorro acumulado Lemonway vs Stripe</x:v>
      </x:c>
      <x:c r="D40" s="86" t="str">
        <x:v>€</x:v>
      </x:c>
      <x:c r="E40" s="98" t="n">
        <x:f>E38-SUM('Modelo 5 años'!E64:I64)</x:f>
        <x:v>167974.24406874995</x:v>
      </x:c>
      <x:c r="F40" s="86"/>
      <x:c r="G40" s="86"/>
      <x:c r="H40" s="86"/>
      <x:c r="I40" s="86"/>
      <x:c r="J40" s="86"/>
      <x:c r="K40" s="86"/>
      <x:c r="L40" s="86"/>
      <x:c r="M40" s="86"/>
      <x:c r="N40" s="86"/>
      <x:c r="O40" s="86"/>
      <x:c r="P40" s="86"/>
      <x:c r="Q40" s="86"/>
      <x:c r="R40" s="86"/>
    </x:row>
    <x:row r="41">
      <x:c r="A41" s="1"/>
      <x:c r="B41" s="1"/>
      <x:c r="C41" s="86" t="str">
        <x:v>Pico de burn operativo acumulado (no caja)</x:v>
      </x:c>
      <x:c r="D41" s="86" t="str">
        <x:v>€</x:v>
      </x:c>
      <x:c r="E41" s="106" t="n">
        <x:f>MAX('Modelo 5 años'!E83:I83)</x:f>
        <x:v>1579995.3371005682</x:v>
      </x:c>
      <x:c r="F41" s="86"/>
      <x:c r="G41" s="86"/>
      <x:c r="H41" s="86"/>
      <x:c r="I41" s="86"/>
      <x:c r="J41" s="86"/>
      <x:c r="K41" s="86"/>
      <x:c r="L41" s="86"/>
      <x:c r="M41" s="86"/>
      <x:c r="N41" s="86"/>
      <x:c r="O41" s="86"/>
      <x:c r="P41" s="86"/>
      <x:c r="Q41" s="86"/>
      <x:c r="R41" s="86"/>
    </x:row>
    <x:row r="42">
      <x:c r="A42" s="1"/>
      <x:c r="B42" s="1"/>
      <x:c r="C42" s="86" t="str">
        <x:v>Pico de burn + colchón del 20% (sin circulante)</x:v>
      </x:c>
      <x:c r="D42" s="86" t="str">
        <x:v>€</x:v>
      </x:c>
      <x:c r="E42" s="106" t="n">
        <x:f>E41*1.20</x:f>
        <x:v>1895994.4045206818</x:v>
      </x:c>
      <x:c r="F42" s="86"/>
      <x:c r="G42" s="86"/>
      <x:c r="H42" s="86"/>
      <x:c r="I42" s="86"/>
      <x:c r="J42" s="86"/>
      <x:c r="K42" s="86"/>
      <x:c r="L42" s="86"/>
      <x:c r="M42" s="86"/>
      <x:c r="N42" s="86"/>
      <x:c r="O42" s="86"/>
      <x:c r="P42" s="86"/>
      <x:c r="Q42" s="86"/>
      <x:c r="R42" s="86"/>
    </x:row>
    <x:row r="43">
      <x:c r="A43" s="1"/>
      <x:c r="B43" s="1"/>
      <x:c r="C43" s="86"/>
      <x:c r="D43" s="86"/>
      <x:c r="E43" s="86"/>
      <x:c r="F43" s="86"/>
      <x:c r="G43" s="86"/>
      <x:c r="H43" s="86"/>
      <x:c r="I43" s="86"/>
      <x:c r="J43" s="86"/>
      <x:c r="K43" s="86"/>
      <x:c r="L43" s="86"/>
      <x:c r="M43" s="86"/>
      <x:c r="N43" s="86"/>
      <x:c r="O43" s="86"/>
      <x:c r="P43" s="86"/>
      <x:c r="Q43" s="86"/>
      <x:c r="R43" s="86"/>
    </x:row>
    <x:row r="44" ht="34" customHeight="1">
      <x:c r="A44" s="1"/>
      <x:c r="B44" s="1"/>
      <x:c r="C44" s="107" t="str">
        <x:v>Lectura</x:v>
      </x:c>
      <x:c r="D44" s="108" t="str">
        <x:v>El cambio del 5% al 10% del proveedor mueve mucho más el resultado que migrar de PSP. En el caso base, permite que 2031 pase de pérdidas a EBITDA positivo.</x:v>
      </x:c>
      <x:c r="E44" s="108"/>
      <x:c r="F44" s="108"/>
      <x:c r="G44" s="108"/>
      <x:c r="H44" s="108"/>
      <x:c r="I44" s="108"/>
      <x:c r="J44" s="109"/>
      <x:c r="K44" s="86"/>
      <x:c r="L44" s="86"/>
      <x:c r="M44" s="86"/>
      <x:c r="N44" s="86"/>
      <x:c r="O44" s="86"/>
      <x:c r="P44" s="86"/>
      <x:c r="Q44" s="86"/>
      <x:c r="R44" s="86"/>
    </x:row>
    <x:row r="45" ht="34" customHeight="1">
      <x:c r="A45" s="1"/>
      <x:c r="B45" s="1"/>
      <x:c r="C45" s="110" t="str">
        <x:v>Riesgo</x:v>
      </x:c>
      <x:c r="D45" s="111" t="str">
        <x:v>Desde 2028, volumen, conversión y gasto son hipótesis sin histórico. El modelo tampoco descuenta una posible caída de conversión o retención por subir la comisión del proveedor al 10%.</x:v>
      </x:c>
      <x:c r="E45" s="111"/>
      <x:c r="F45" s="111"/>
      <x:c r="G45" s="111"/>
      <x:c r="H45" s="111"/>
      <x:c r="I45" s="111"/>
      <x:c r="J45" s="112"/>
      <x:c r="K45" s="86"/>
      <x:c r="L45" s="86"/>
      <x:c r="M45" s="86"/>
      <x:c r="N45" s="86"/>
      <x:c r="O45" s="86"/>
      <x:c r="P45" s="86"/>
      <x:c r="Q45" s="86"/>
      <x:c r="R45" s="86"/>
    </x:row>
    <x:row r="46" ht="34" customHeight="1">
      <x:c r="A46" s="1"/>
      <x:c r="B46" s="1"/>
      <x:c r="C46" s="113" t="str">
        <x:v>Decisión</x:v>
      </x:c>
      <x:c r="D46" s="114" t="str">
        <x:v>Mantener Stripe durante el piloto y pedir ofertas comparables a Mollie, Lemonway y Mangopay (precio a medida, no modelado). Migrar solo tras validar ahorro total, KYC, disputas, retención y conciliación.</x:v>
      </x:c>
      <x:c r="E46" s="114"/>
      <x:c r="F46" s="114"/>
      <x:c r="G46" s="114"/>
      <x:c r="H46" s="114"/>
      <x:c r="I46" s="114"/>
      <x:c r="J46" s="115"/>
      <x:c r="K46" s="86"/>
      <x:c r="L46" s="86"/>
      <x:c r="M46" s="86"/>
      <x:c r="N46" s="86"/>
      <x:c r="O46" s="86"/>
      <x:c r="P46" s="86"/>
      <x:c r="Q46" s="86"/>
      <x:c r="R46" s="86"/>
    </x:row>
  </x:sheetData>
  <x:mergeCells>
    <x:mergeCell ref="D44:J44"/>
    <x:mergeCell ref="D45:J45"/>
    <x:mergeCell ref="D46:J46"/>
  </x:mergeCells>
  <x:conditionalFormatting sqref="E17:I17">
    <x:cfRule type="cellIs" dxfId="4" priority="1" operator="lessThan">
      <x:formula>0</x:formula>
    </x:cfRule>
    <x:cfRule type="cellIs" dxfId="5" priority="2" operator="greaterThanOrEqual">
      <x:formula>0</x:formula>
    </x:cfRule>
  </x:conditionalFormatting>
  <x:pageMargins left="0.7" right="0.7" top="0.75" bottom="0.75" header="0.3" footer="0.3"/>
  <x:drawing xmlns:r="http://schemas.openxmlformats.org/officeDocument/2006/relationships" r:id="R6b10b44c491e4240"/>
</x:worksheet>
</file>

<file path=xl/worksheets/sheet2.xml><?xml version="1.0" encoding="utf-8"?>
<x:worksheet xmlns:x="http://schemas.openxmlformats.org/spreadsheetml/2006/main">
  <x:sheetPr>
    <x:tabColor rgb="FFF6EBCF"/>
  </x:sheetPr>
  <x:sheetViews>
    <x:sheetView showGridLines="0" workbookViewId="0">
      <x:pane xSplit="3" ySplit="8" topLeftCell="D9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4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29" hidden="0" customWidth="1"/>
    <x:col min="10" max="10" width="13" hidden="0" customWidth="1"/>
  </x:cols>
  <x:sheetData>
    <x:row r="1">
      <x:c r="A1" s="1"/>
      <x:c r="B1" s="1"/>
      <x:c r="C1" s="86"/>
      <x:c r="D1" s="86"/>
      <x:c r="E1" s="86"/>
      <x:c r="F1" s="86"/>
      <x:c r="G1" s="86"/>
      <x:c r="H1" s="86"/>
      <x:c r="I1" s="86"/>
      <x:c r="J1" s="86"/>
    </x:row>
    <x:row r="2">
      <x:c r="A2" s="1"/>
      <x:c r="B2" s="1"/>
      <x:c r="C2" s="87" t="str">
        <x:v>Diime — Supuestos del plan a cinco años</x:v>
      </x:c>
      <x:c r="D2" s="88"/>
      <x:c r="E2" s="88"/>
      <x:c r="F2" s="88"/>
      <x:c r="G2" s="88"/>
      <x:c r="H2" s="88"/>
      <x:c r="I2" s="88"/>
      <x:c r="J2" s="88"/>
    </x:row>
    <x:row r="3">
      <x:c r="A3" s="1"/>
      <x:c r="B3" s="1"/>
      <x:c r="C3" s="89" t="str">
        <x:v>Entradas editables en azul. El caso base parte del piloto de Madrid y utiliza un ticket ilustrativo de 1.500 €, no un ticket observado.</x:v>
      </x:c>
      <x:c r="D3" s="89"/>
      <x:c r="E3" s="89"/>
      <x:c r="F3" s="89"/>
      <x:c r="G3" s="89"/>
      <x:c r="H3" s="89"/>
      <x:c r="I3" s="89"/>
      <x:c r="J3" s="89"/>
    </x:row>
    <x:row r="4">
      <x:c r="A4" s="1"/>
      <x:c r="B4" s="1"/>
      <x:c r="C4" s="86"/>
      <x:c r="D4" s="86"/>
      <x:c r="E4" s="86"/>
      <x:c r="F4" s="86"/>
      <x:c r="G4" s="86"/>
      <x:c r="H4" s="86"/>
      <x:c r="I4" s="86"/>
      <x:c r="J4" s="86"/>
    </x:row>
    <x:row r="5">
      <x:c r="A5" s="1"/>
      <x:c r="B5" s="1"/>
      <x:c r="C5" s="86"/>
      <x:c r="D5" s="86"/>
      <x:c r="E5" s="86"/>
      <x:c r="F5" s="86"/>
      <x:c r="G5" s="86"/>
      <x:c r="H5" s="86"/>
      <x:c r="I5" s="86"/>
      <x:c r="J5" s="86"/>
    </x:row>
    <x:row r="6" ht="32" customHeight="1">
      <x:c r="A6" s="1"/>
      <x:c r="B6" s="1"/>
      <x:c r="C6" s="116" t="str">
        <x:v>Escenario</x:v>
      </x:c>
      <x:c r="D6" s="117" t="str">
        <x:v>Base</x:v>
      </x:c>
      <x:c r="E6" s="118" t="str"/>
      <x:c r="F6" s="118" t="str">
        <x:v>Proveedor de pagos</x:v>
      </x:c>
      <x:c r="G6" s="117" t="str">
        <x:v>Stripe</x:v>
      </x:c>
      <x:c r="H6" s="118" t="str"/>
      <x:c r="I6" s="118" t="str">
        <x:v>IVA incluido en las comisiones</x:v>
      </x:c>
      <x:c r="J6" s="119" t="str">
        <x:v>Sí</x:v>
      </x:c>
    </x:row>
    <x:row r="7">
      <x:c r="A7" s="1"/>
      <x:c r="B7" s="1"/>
      <x:c r="C7" s="86"/>
      <x:c r="D7" s="86"/>
      <x:c r="E7" s="86"/>
      <x:c r="F7" s="86"/>
      <x:c r="G7" s="86"/>
      <x:c r="H7" s="86"/>
      <x:c r="I7" s="86"/>
      <x:c r="J7" s="86"/>
    </x:row>
    <x:row r="8">
      <x:c r="A8" s="1"/>
      <x:c r="B8" s="1"/>
      <x:c r="C8" s="17" t="str">
        <x:v>Hipótesis</x:v>
      </x:c>
      <x:c r="D8" s="172" t="n">
        <x:v>2027</x:v>
      </x:c>
      <x:c r="E8" s="172" t="n">
        <x:v>2028</x:v>
      </x:c>
      <x:c r="F8" s="172" t="n">
        <x:v>2029</x:v>
      </x:c>
      <x:c r="G8" s="172" t="n">
        <x:v>2030</x:v>
      </x:c>
      <x:c r="H8" s="172" t="n">
        <x:v>2031</x:v>
      </x:c>
      <x:c r="I8" s="86"/>
      <x:c r="J8" s="86"/>
    </x:row>
    <x:row r="9">
      <x:c r="A9" s="1"/>
      <x:c r="B9" s="1"/>
      <x:c r="C9" s="86"/>
      <x:c r="D9" s="171"/>
      <x:c r="E9" s="171"/>
      <x:c r="F9" s="171"/>
      <x:c r="G9" s="171"/>
      <x:c r="H9" s="171"/>
      <x:c r="I9" s="86"/>
      <x:c r="J9" s="86"/>
    </x:row>
    <x:row r="10">
      <x:c r="A10" s="1"/>
      <x:c r="B10" s="1"/>
      <x:c r="C10" s="92" t="str">
        <x:v>Solicitudes publicadas al año</x:v>
      </x:c>
      <x:c r="D10" s="173"/>
      <x:c r="E10" s="173"/>
      <x:c r="F10" s="173"/>
      <x:c r="G10" s="173"/>
      <x:c r="H10" s="174"/>
      <x:c r="I10" s="86"/>
      <x:c r="J10" s="86"/>
    </x:row>
    <x:row r="11">
      <x:c r="A11" s="1"/>
      <x:c r="B11" s="1"/>
      <x:c r="C11" s="86"/>
      <x:c r="D11" s="171"/>
      <x:c r="E11" s="171"/>
      <x:c r="F11" s="171"/>
      <x:c r="G11" s="171"/>
      <x:c r="H11" s="171"/>
      <x:c r="I11" s="86"/>
      <x:c r="J11" s="86"/>
    </x:row>
    <x:row r="12">
      <x:c r="A12" s="1"/>
      <x:c r="B12" s="1"/>
      <x:c r="C12" s="86" t="str">
        <x:v>Bear</x:v>
      </x:c>
      <x:c r="D12" s="175" t="n">
        <x:v>120</x:v>
      </x:c>
      <x:c r="E12" s="175" t="n">
        <x:v>400</x:v>
      </x:c>
      <x:c r="F12" s="175" t="n">
        <x:v>1200</x:v>
      </x:c>
      <x:c r="G12" s="175" t="n">
        <x:v>3000</x:v>
      </x:c>
      <x:c r="H12" s="175" t="n">
        <x:v>8000</x:v>
      </x:c>
      <x:c r="I12" s="86"/>
      <x:c r="J12" s="86"/>
    </x:row>
    <x:row r="13">
      <x:c r="A13" s="1"/>
      <x:c r="B13" s="1"/>
      <x:c r="C13" s="86" t="str">
        <x:v>Base</x:v>
      </x:c>
      <x:c r="D13" s="175" t="n">
        <x:v>180</x:v>
      </x:c>
      <x:c r="E13" s="175" t="n">
        <x:v>1200</x:v>
      </x:c>
      <x:c r="F13" s="175" t="n">
        <x:v>5000</x:v>
      </x:c>
      <x:c r="G13" s="175" t="n">
        <x:v>15000</x:v>
      </x:c>
      <x:c r="H13" s="175" t="n">
        <x:v>30000</x:v>
      </x:c>
      <x:c r="I13" s="86"/>
      <x:c r="J13" s="86"/>
    </x:row>
    <x:row r="14">
      <x:c r="A14" s="1"/>
      <x:c r="B14" s="1"/>
      <x:c r="C14" s="86" t="str">
        <x:v>Upside</x:v>
      </x:c>
      <x:c r="D14" s="175" t="n">
        <x:v>240</x:v>
      </x:c>
      <x:c r="E14" s="175" t="n">
        <x:v>2400</x:v>
      </x:c>
      <x:c r="F14" s="175" t="n">
        <x:v>10000</x:v>
      </x:c>
      <x:c r="G14" s="175" t="n">
        <x:v>30000</x:v>
      </x:c>
      <x:c r="H14" s="175" t="n">
        <x:v>70000</x:v>
      </x:c>
      <x:c r="I14" s="86"/>
      <x:c r="J14" s="86"/>
    </x:row>
    <x:row r="15">
      <x:c r="A15" s="1"/>
      <x:c r="B15" s="1"/>
      <x:c r="C15" s="99" t="str">
        <x:v>Seleccionado</x:v>
      </x:c>
      <x:c r="D15" s="176" t="n">
        <x:f>IF($D$6="Bear",D12,IF($D$6="Upside",D14,D13))</x:f>
        <x:v>180</x:v>
      </x:c>
      <x:c r="E15" s="176" t="n">
        <x:f>IF($D$6="Bear",E12,IF($D$6="Upside",E14,E13))</x:f>
        <x:v>1200</x:v>
      </x:c>
      <x:c r="F15" s="176" t="n">
        <x:f>IF($D$6="Bear",F12,IF($D$6="Upside",F14,F13))</x:f>
        <x:v>5000</x:v>
      </x:c>
      <x:c r="G15" s="176" t="n">
        <x:f>IF($D$6="Bear",G12,IF($D$6="Upside",G14,G13))</x:f>
        <x:v>15000</x:v>
      </x:c>
      <x:c r="H15" s="176" t="n">
        <x:f>IF($D$6="Bear",H12,IF($D$6="Upside",H14,H13))</x:f>
        <x:v>30000</x:v>
      </x:c>
      <x:c r="I15" s="86"/>
      <x:c r="J15" s="86"/>
    </x:row>
    <x:row r="16">
      <x:c r="A16" s="1"/>
      <x:c r="B16" s="1"/>
      <x:c r="C16" s="86"/>
      <x:c r="D16" s="171"/>
      <x:c r="E16" s="171"/>
      <x:c r="F16" s="171"/>
      <x:c r="G16" s="171"/>
      <x:c r="H16" s="171"/>
      <x:c r="I16" s="86"/>
      <x:c r="J16" s="86"/>
    </x:row>
    <x:row r="17">
      <x:c r="A17" s="1"/>
      <x:c r="B17" s="1"/>
      <x:c r="C17" s="92" t="str">
        <x:v>Conversión de solicitud a trabajo pagado</x:v>
      </x:c>
      <x:c r="D17" s="173"/>
      <x:c r="E17" s="173"/>
      <x:c r="F17" s="173"/>
      <x:c r="G17" s="173"/>
      <x:c r="H17" s="174"/>
      <x:c r="I17" s="86"/>
      <x:c r="J17" s="86"/>
    </x:row>
    <x:row r="18">
      <x:c r="A18" s="1"/>
      <x:c r="B18" s="1"/>
      <x:c r="C18" s="86"/>
      <x:c r="D18" s="171"/>
      <x:c r="E18" s="171"/>
      <x:c r="F18" s="171"/>
      <x:c r="G18" s="171"/>
      <x:c r="H18" s="171"/>
      <x:c r="I18" s="86"/>
      <x:c r="J18" s="86"/>
    </x:row>
    <x:row r="19">
      <x:c r="A19" s="1"/>
      <x:c r="B19" s="1"/>
      <x:c r="C19" s="86" t="str">
        <x:v>Bear</x:v>
      </x:c>
      <x:c r="D19" s="177" t="n">
        <x:v>0.15</x:v>
      </x:c>
      <x:c r="E19" s="177" t="n">
        <x:v>0.18</x:v>
      </x:c>
      <x:c r="F19" s="177" t="n">
        <x:v>0.2</x:v>
      </x:c>
      <x:c r="G19" s="177" t="n">
        <x:v>0.22</x:v>
      </x:c>
      <x:c r="H19" s="177" t="n">
        <x:v>0.25</x:v>
      </x:c>
      <x:c r="I19" s="86"/>
      <x:c r="J19" s="86"/>
    </x:row>
    <x:row r="20">
      <x:c r="A20" s="1"/>
      <x:c r="B20" s="1"/>
      <x:c r="C20" s="86" t="str">
        <x:v>Base</x:v>
      </x:c>
      <x:c r="D20" s="177" t="n">
        <x:v>0.2</x:v>
      </x:c>
      <x:c r="E20" s="177" t="n">
        <x:v>0.25</x:v>
      </x:c>
      <x:c r="F20" s="177" t="n">
        <x:v>0.3</x:v>
      </x:c>
      <x:c r="G20" s="177" t="n">
        <x:v>0.35</x:v>
      </x:c>
      <x:c r="H20" s="177" t="n">
        <x:v>0.4</x:v>
      </x:c>
      <x:c r="I20" s="86"/>
      <x:c r="J20" s="86"/>
    </x:row>
    <x:row r="21">
      <x:c r="A21" s="1"/>
      <x:c r="B21" s="1"/>
      <x:c r="C21" s="86" t="str">
        <x:v>Upside</x:v>
      </x:c>
      <x:c r="D21" s="177" t="n">
        <x:v>0.25</x:v>
      </x:c>
      <x:c r="E21" s="177" t="n">
        <x:v>0.3</x:v>
      </x:c>
      <x:c r="F21" s="177" t="n">
        <x:v>0.35</x:v>
      </x:c>
      <x:c r="G21" s="177" t="n">
        <x:v>0.4</x:v>
      </x:c>
      <x:c r="H21" s="177" t="n">
        <x:v>0.45</x:v>
      </x:c>
      <x:c r="I21" s="86"/>
      <x:c r="J21" s="86"/>
    </x:row>
    <x:row r="22">
      <x:c r="A22" s="1"/>
      <x:c r="B22" s="1"/>
      <x:c r="C22" s="99" t="str">
        <x:v>Seleccionado</x:v>
      </x:c>
      <x:c r="D22" s="178" t="n">
        <x:f>IF($D$6="Bear",D19,IF($D$6="Upside",D21,D20))</x:f>
        <x:v>0.2</x:v>
      </x:c>
      <x:c r="E22" s="178" t="n">
        <x:f>IF($D$6="Bear",E19,IF($D$6="Upside",E21,E20))</x:f>
        <x:v>0.25</x:v>
      </x:c>
      <x:c r="F22" s="178" t="n">
        <x:f>IF($D$6="Bear",F19,IF($D$6="Upside",F21,F20))</x:f>
        <x:v>0.3</x:v>
      </x:c>
      <x:c r="G22" s="178" t="n">
        <x:f>IF($D$6="Bear",G19,IF($D$6="Upside",G21,G20))</x:f>
        <x:v>0.35</x:v>
      </x:c>
      <x:c r="H22" s="178" t="n">
        <x:f>IF($D$6="Bear",H19,IF($D$6="Upside",H21,H20))</x:f>
        <x:v>0.4</x:v>
      </x:c>
      <x:c r="I22" s="86"/>
      <x:c r="J22" s="86"/>
    </x:row>
    <x:row r="23">
      <x:c r="A23" s="1"/>
      <x:c r="B23" s="1"/>
      <x:c r="C23" s="86"/>
      <x:c r="D23" s="171"/>
      <x:c r="E23" s="171"/>
      <x:c r="F23" s="171"/>
      <x:c r="G23" s="171"/>
      <x:c r="H23" s="171"/>
      <x:c r="I23" s="86"/>
      <x:c r="J23" s="86"/>
    </x:row>
    <x:row r="24">
      <x:c r="A24" s="1"/>
      <x:c r="B24" s="1"/>
      <x:c r="C24" s="92" t="str">
        <x:v>Ticket medio del trabajo (€)</x:v>
      </x:c>
      <x:c r="D24" s="173"/>
      <x:c r="E24" s="173"/>
      <x:c r="F24" s="173"/>
      <x:c r="G24" s="173"/>
      <x:c r="H24" s="174"/>
      <x:c r="I24" s="86"/>
      <x:c r="J24" s="86"/>
    </x:row>
    <x:row r="25">
      <x:c r="A25" s="1"/>
      <x:c r="B25" s="1"/>
      <x:c r="C25" s="86"/>
      <x:c r="D25" s="171"/>
      <x:c r="E25" s="171"/>
      <x:c r="F25" s="171"/>
      <x:c r="G25" s="171"/>
      <x:c r="H25" s="171"/>
      <x:c r="I25" s="86"/>
      <x:c r="J25" s="86"/>
    </x:row>
    <x:row r="26">
      <x:c r="A26" s="1"/>
      <x:c r="B26" s="1"/>
      <x:c r="C26" s="86" t="str">
        <x:v>Bear</x:v>
      </x:c>
      <x:c r="D26" s="179" t="n">
        <x:v>1000</x:v>
      </x:c>
      <x:c r="E26" s="179" t="n">
        <x:v>1030</x:v>
      </x:c>
      <x:c r="F26" s="179" t="n">
        <x:v>1060.9</x:v>
      </x:c>
      <x:c r="G26" s="179" t="n">
        <x:v>1092.73</x:v>
      </x:c>
      <x:c r="H26" s="179" t="n">
        <x:v>1125.51</x:v>
      </x:c>
      <x:c r="I26" s="86"/>
      <x:c r="J26" s="86"/>
    </x:row>
    <x:row r="27">
      <x:c r="A27" s="1"/>
      <x:c r="B27" s="1"/>
      <x:c r="C27" s="86" t="str">
        <x:v>Base</x:v>
      </x:c>
      <x:c r="D27" s="179" t="n">
        <x:v>1500</x:v>
      </x:c>
      <x:c r="E27" s="179" t="n">
        <x:v>1545</x:v>
      </x:c>
      <x:c r="F27" s="179" t="n">
        <x:v>1591.35</x:v>
      </x:c>
      <x:c r="G27" s="179" t="n">
        <x:v>1639.09</x:v>
      </x:c>
      <x:c r="H27" s="179" t="n">
        <x:v>1688.26</x:v>
      </x:c>
      <x:c r="I27" s="86"/>
      <x:c r="J27" s="86"/>
    </x:row>
    <x:row r="28">
      <x:c r="A28" s="1"/>
      <x:c r="B28" s="1"/>
      <x:c r="C28" s="86" t="str">
        <x:v>Upside</x:v>
      </x:c>
      <x:c r="D28" s="179" t="n">
        <x:v>1800</x:v>
      </x:c>
      <x:c r="E28" s="179" t="n">
        <x:v>1881</x:v>
      </x:c>
      <x:c r="F28" s="179" t="n">
        <x:v>1965.65</x:v>
      </x:c>
      <x:c r="G28" s="179" t="n">
        <x:v>2054.1</x:v>
      </x:c>
      <x:c r="H28" s="179" t="n">
        <x:v>2146.53</x:v>
      </x:c>
      <x:c r="I28" s="86"/>
      <x:c r="J28" s="86"/>
    </x:row>
    <x:row r="29">
      <x:c r="A29" s="1"/>
      <x:c r="B29" s="1"/>
      <x:c r="C29" s="99" t="str">
        <x:v>Seleccionado</x:v>
      </x:c>
      <x:c r="D29" s="161" t="n">
        <x:f>IF($D$6="Bear",D26,IF($D$6="Upside",D28,D27))</x:f>
        <x:v>1500</x:v>
      </x:c>
      <x:c r="E29" s="161" t="n">
        <x:f>IF($D$6="Bear",E26,IF($D$6="Upside",E28,E27))</x:f>
        <x:v>1545</x:v>
      </x:c>
      <x:c r="F29" s="161" t="n">
        <x:f>IF($D$6="Bear",F26,IF($D$6="Upside",F28,F27))</x:f>
        <x:v>1591.35</x:v>
      </x:c>
      <x:c r="G29" s="161" t="n">
        <x:f>IF($D$6="Bear",G26,IF($D$6="Upside",G28,G27))</x:f>
        <x:v>1639.09</x:v>
      </x:c>
      <x:c r="H29" s="161" t="n">
        <x:f>IF($D$6="Bear",H26,IF($D$6="Upside",H28,H27))</x:f>
        <x:v>1688.26</x:v>
      </x:c>
      <x:c r="I29" s="86"/>
      <x:c r="J29" s="86"/>
    </x:row>
    <x:row r="30">
      <x:c r="A30" s="1"/>
      <x:c r="B30" s="1"/>
      <x:c r="C30" s="86"/>
      <x:c r="D30" s="171"/>
      <x:c r="E30" s="171"/>
      <x:c r="F30" s="171"/>
      <x:c r="G30" s="171"/>
      <x:c r="H30" s="171"/>
      <x:c r="I30" s="86"/>
      <x:c r="J30" s="86"/>
    </x:row>
    <x:row r="31">
      <x:c r="A31" s="1"/>
      <x:c r="B31" s="1"/>
      <x:c r="C31" s="92" t="str">
        <x:v>Profesionales disponibles estimados</x:v>
      </x:c>
      <x:c r="D31" s="173"/>
      <x:c r="E31" s="173"/>
      <x:c r="F31" s="173"/>
      <x:c r="G31" s="173"/>
      <x:c r="H31" s="174"/>
      <x:c r="I31" s="86"/>
      <x:c r="J31" s="86"/>
    </x:row>
    <x:row r="32">
      <x:c r="A32" s="1"/>
      <x:c r="B32" s="1"/>
      <x:c r="C32" s="86"/>
      <x:c r="D32" s="171"/>
      <x:c r="E32" s="171"/>
      <x:c r="F32" s="171"/>
      <x:c r="G32" s="171"/>
      <x:c r="H32" s="171"/>
      <x:c r="I32" s="86"/>
      <x:c r="J32" s="86"/>
    </x:row>
    <x:row r="33">
      <x:c r="A33" s="1"/>
      <x:c r="B33" s="1"/>
      <x:c r="C33" s="86" t="str">
        <x:v>Bear</x:v>
      </x:c>
      <x:c r="D33" s="175" t="n">
        <x:v>20</x:v>
      </x:c>
      <x:c r="E33" s="175" t="n">
        <x:v>50</x:v>
      </x:c>
      <x:c r="F33" s="175" t="n">
        <x:v>120</x:v>
      </x:c>
      <x:c r="G33" s="175" t="n">
        <x:v>250</x:v>
      </x:c>
      <x:c r="H33" s="175" t="n">
        <x:v>500</x:v>
      </x:c>
      <x:c r="I33" s="86"/>
      <x:c r="J33" s="86"/>
    </x:row>
    <x:row r="34">
      <x:c r="A34" s="1"/>
      <x:c r="B34" s="1"/>
      <x:c r="C34" s="86" t="str">
        <x:v>Base</x:v>
      </x:c>
      <x:c r="D34" s="175" t="n">
        <x:v>20</x:v>
      </x:c>
      <x:c r="E34" s="175" t="n">
        <x:v>80</x:v>
      </x:c>
      <x:c r="F34" s="175" t="n">
        <x:v>300</x:v>
      </x:c>
      <x:c r="G34" s="175" t="n">
        <x:v>900</x:v>
      </x:c>
      <x:c r="H34" s="175" t="n">
        <x:v>1800</x:v>
      </x:c>
      <x:c r="I34" s="86"/>
      <x:c r="J34" s="86"/>
    </x:row>
    <x:row r="35">
      <x:c r="A35" s="1"/>
      <x:c r="B35" s="1"/>
      <x:c r="C35" s="86" t="str">
        <x:v>Upside</x:v>
      </x:c>
      <x:c r="D35" s="175" t="n">
        <x:v>30</x:v>
      </x:c>
      <x:c r="E35" s="175" t="n">
        <x:v>150</x:v>
      </x:c>
      <x:c r="F35" s="175" t="n">
        <x:v>600</x:v>
      </x:c>
      <x:c r="G35" s="175" t="n">
        <x:v>1800</x:v>
      </x:c>
      <x:c r="H35" s="175" t="n">
        <x:v>4500</x:v>
      </x:c>
      <x:c r="I35" s="86"/>
      <x:c r="J35" s="86"/>
    </x:row>
    <x:row r="36">
      <x:c r="A36" s="1"/>
      <x:c r="B36" s="1"/>
      <x:c r="C36" s="99" t="str">
        <x:v>Seleccionado</x:v>
      </x:c>
      <x:c r="D36" s="176" t="n">
        <x:f>IF($D$6="Bear",D33,IF($D$6="Upside",D35,D34))</x:f>
        <x:v>20</x:v>
      </x:c>
      <x:c r="E36" s="176" t="n">
        <x:f>IF($D$6="Bear",E33,IF($D$6="Upside",E35,E34))</x:f>
        <x:v>80</x:v>
      </x:c>
      <x:c r="F36" s="176" t="n">
        <x:f>IF($D$6="Bear",F33,IF($D$6="Upside",F35,F34))</x:f>
        <x:v>300</x:v>
      </x:c>
      <x:c r="G36" s="176" t="n">
        <x:f>IF($D$6="Bear",G33,IF($D$6="Upside",G35,G34))</x:f>
        <x:v>900</x:v>
      </x:c>
      <x:c r="H36" s="176" t="n">
        <x:f>IF($D$6="Bear",H33,IF($D$6="Upside",H35,H34))</x:f>
        <x:v>1800</x:v>
      </x:c>
      <x:c r="I36" s="86"/>
      <x:c r="J36" s="86"/>
    </x:row>
    <x:row r="37">
      <x:c r="A37" s="1"/>
      <x:c r="B37" s="1"/>
      <x:c r="C37" s="86"/>
      <x:c r="D37" s="171"/>
      <x:c r="E37" s="171"/>
      <x:c r="F37" s="171"/>
      <x:c r="G37" s="171"/>
      <x:c r="H37" s="171"/>
      <x:c r="I37" s="86"/>
      <x:c r="J37" s="86"/>
    </x:row>
    <x:row r="38">
      <x:c r="A38" s="1"/>
      <x:c r="B38" s="1"/>
      <x:c r="C38" s="92" t="str">
        <x:v>Multiplicador de gasto operativo por escenario</x:v>
      </x:c>
      <x:c r="D38" s="173"/>
      <x:c r="E38" s="173"/>
      <x:c r="F38" s="173"/>
      <x:c r="G38" s="173"/>
      <x:c r="H38" s="174"/>
      <x:c r="I38" s="86"/>
      <x:c r="J38" s="86"/>
    </x:row>
    <x:row r="39">
      <x:c r="A39" s="1"/>
      <x:c r="B39" s="1"/>
      <x:c r="C39" s="86"/>
      <x:c r="D39" s="171"/>
      <x:c r="E39" s="171"/>
      <x:c r="F39" s="171"/>
      <x:c r="G39" s="171"/>
      <x:c r="H39" s="171"/>
      <x:c r="I39" s="86"/>
      <x:c r="J39" s="86"/>
    </x:row>
    <x:row r="40">
      <x:c r="A40" s="1"/>
      <x:c r="B40" s="1"/>
      <x:c r="C40" s="86" t="str">
        <x:v>Bear</x:v>
      </x:c>
      <x:c r="D40" s="180" t="n">
        <x:v>0.75</x:v>
      </x:c>
      <x:c r="E40" s="180" t="n">
        <x:v>0.75</x:v>
      </x:c>
      <x:c r="F40" s="180" t="n">
        <x:v>0.75</x:v>
      </x:c>
      <x:c r="G40" s="180" t="n">
        <x:v>0.75</x:v>
      </x:c>
      <x:c r="H40" s="180" t="n">
        <x:v>0.75</x:v>
      </x:c>
      <x:c r="I40" s="86"/>
      <x:c r="J40" s="86"/>
    </x:row>
    <x:row r="41">
      <x:c r="A41" s="1"/>
      <x:c r="B41" s="1"/>
      <x:c r="C41" s="86" t="str">
        <x:v>Base</x:v>
      </x:c>
      <x:c r="D41" s="180" t="n">
        <x:v>1</x:v>
      </x:c>
      <x:c r="E41" s="180" t="n">
        <x:v>1</x:v>
      </x:c>
      <x:c r="F41" s="180" t="n">
        <x:v>1</x:v>
      </x:c>
      <x:c r="G41" s="180" t="n">
        <x:v>1</x:v>
      </x:c>
      <x:c r="H41" s="180" t="n">
        <x:v>1</x:v>
      </x:c>
      <x:c r="I41" s="86"/>
      <x:c r="J41" s="86"/>
    </x:row>
    <x:row r="42">
      <x:c r="A42" s="1"/>
      <x:c r="B42" s="1"/>
      <x:c r="C42" s="86" t="str">
        <x:v>Upside</x:v>
      </x:c>
      <x:c r="D42" s="180" t="n">
        <x:v>1.4</x:v>
      </x:c>
      <x:c r="E42" s="180" t="n">
        <x:v>1.4</x:v>
      </x:c>
      <x:c r="F42" s="180" t="n">
        <x:v>1.4</x:v>
      </x:c>
      <x:c r="G42" s="180" t="n">
        <x:v>1.4</x:v>
      </x:c>
      <x:c r="H42" s="180" t="n">
        <x:v>1.4</x:v>
      </x:c>
      <x:c r="I42" s="86"/>
      <x:c r="J42" s="86"/>
    </x:row>
    <x:row r="43">
      <x:c r="A43" s="1"/>
      <x:c r="B43" s="1"/>
      <x:c r="C43" s="99" t="str">
        <x:v>Seleccionado</x:v>
      </x:c>
      <x:c r="D43" s="181" t="n">
        <x:f>IF($D$6="Bear",D40,IF($D$6="Upside",D42,D41))</x:f>
        <x:v>1</x:v>
      </x:c>
      <x:c r="E43" s="181" t="n">
        <x:f>IF($D$6="Bear",E40,IF($D$6="Upside",E42,E41))</x:f>
        <x:v>1</x:v>
      </x:c>
      <x:c r="F43" s="181" t="n">
        <x:f>IF($D$6="Bear",F40,IF($D$6="Upside",F42,F41))</x:f>
        <x:v>1</x:v>
      </x:c>
      <x:c r="G43" s="181" t="n">
        <x:f>IF($D$6="Bear",G40,IF($D$6="Upside",G42,G41))</x:f>
        <x:v>1</x:v>
      </x:c>
      <x:c r="H43" s="181" t="n">
        <x:f>IF($D$6="Bear",H40,IF($D$6="Upside",H42,H41))</x:f>
        <x:v>1</x:v>
      </x:c>
      <x:c r="I43" s="86"/>
      <x:c r="J43" s="86"/>
    </x:row>
    <x:row r="44">
      <x:c r="A44" s="1"/>
      <x:c r="B44" s="1"/>
      <x:c r="C44" s="86"/>
      <x:c r="D44" s="171"/>
      <x:c r="E44" s="171"/>
      <x:c r="F44" s="171"/>
      <x:c r="G44" s="171"/>
      <x:c r="H44" s="171"/>
      <x:c r="I44" s="86"/>
      <x:c r="J44" s="86"/>
    </x:row>
    <x:row r="45">
      <x:c r="A45" s="1"/>
      <x:c r="B45" s="1"/>
      <x:c r="C45" s="92" t="str">
        <x:v>Gasto operativo base (€)</x:v>
      </x:c>
      <x:c r="D45" s="173"/>
      <x:c r="E45" s="173"/>
      <x:c r="F45" s="173"/>
      <x:c r="G45" s="173"/>
      <x:c r="H45" s="174"/>
      <x:c r="I45" s="86"/>
      <x:c r="J45" s="86"/>
    </x:row>
    <x:row r="46">
      <x:c r="A46" s="1"/>
      <x:c r="B46" s="1"/>
      <x:c r="C46" s="86"/>
      <x:c r="D46" s="171"/>
      <x:c r="E46" s="171"/>
      <x:c r="F46" s="171"/>
      <x:c r="G46" s="171"/>
      <x:c r="H46" s="171"/>
      <x:c r="I46" s="86"/>
      <x:c r="J46" s="86"/>
    </x:row>
    <x:row r="47">
      <x:c r="A47" s="1"/>
      <x:c r="B47" s="1"/>
      <x:c r="C47" s="86" t="str">
        <x:v>Producto y tecnología</x:v>
      </x:c>
      <x:c r="D47" s="179" t="n">
        <x:v>100000</x:v>
      </x:c>
      <x:c r="E47" s="179" t="n">
        <x:v>180000</x:v>
      </x:c>
      <x:c r="F47" s="179" t="n">
        <x:v>300000</x:v>
      </x:c>
      <x:c r="G47" s="179" t="n">
        <x:v>450000</x:v>
      </x:c>
      <x:c r="H47" s="179" t="n">
        <x:v>650000</x:v>
      </x:c>
      <x:c r="I47" s="86"/>
      <x:c r="J47" s="86"/>
    </x:row>
    <x:row r="48">
      <x:c r="A48" s="1"/>
      <x:c r="B48" s="1"/>
      <x:c r="C48" s="86" t="str">
        <x:v>Marketing y captación</x:v>
      </x:c>
      <x:c r="D48" s="179" t="n">
        <x:v>40000</x:v>
      </x:c>
      <x:c r="E48" s="179" t="n">
        <x:v>140000</x:v>
      </x:c>
      <x:c r="F48" s="179" t="n">
        <x:v>320000</x:v>
      </x:c>
      <x:c r="G48" s="179" t="n">
        <x:v>650000</x:v>
      </x:c>
      <x:c r="H48" s="179" t="n">
        <x:v>1000000</x:v>
      </x:c>
      <x:c r="I48" s="86"/>
      <x:c r="J48" s="86"/>
    </x:row>
    <x:row r="49">
      <x:c r="A49" s="1"/>
      <x:c r="B49" s="1"/>
      <x:c r="C49" s="86" t="str">
        <x:v>Operaciones y soporte</x:v>
      </x:c>
      <x:c r="D49" s="179" t="n">
        <x:v>55000</x:v>
      </x:c>
      <x:c r="E49" s="179" t="n">
        <x:v>100000</x:v>
      </x:c>
      <x:c r="F49" s="179" t="n">
        <x:v>180000</x:v>
      </x:c>
      <x:c r="G49" s="179" t="n">
        <x:v>320000</x:v>
      </x:c>
      <x:c r="H49" s="179" t="n">
        <x:v>500000</x:v>
      </x:c>
      <x:c r="I49" s="86"/>
      <x:c r="J49" s="86"/>
    </x:row>
    <x:row r="50">
      <x:c r="A50" s="1"/>
      <x:c r="B50" s="1"/>
      <x:c r="C50" s="86" t="str">
        <x:v>Administración, legal y seguros</x:v>
      </x:c>
      <x:c r="D50" s="179" t="n">
        <x:v>35000</x:v>
      </x:c>
      <x:c r="E50" s="179" t="n">
        <x:v>55000</x:v>
      </x:c>
      <x:c r="F50" s="179" t="n">
        <x:v>85000</x:v>
      </x:c>
      <x:c r="G50" s="179" t="n">
        <x:v>135000</x:v>
      </x:c>
      <x:c r="H50" s="179" t="n">
        <x:v>200000</x:v>
      </x:c>
      <x:c r="I50" s="86"/>
      <x:c r="J50" s="86"/>
    </x:row>
    <x:row r="51">
      <x:c r="A51" s="1"/>
      <x:c r="B51" s="1"/>
      <x:c r="C51" s="99" t="str">
        <x:v>Total base</x:v>
      </x:c>
      <x:c r="D51" s="161" t="n">
        <x:f>SUM(D47:D50)</x:f>
        <x:v>230000</x:v>
      </x:c>
      <x:c r="E51" s="161" t="n">
        <x:f>SUM(E47:E50)</x:f>
        <x:v>475000</x:v>
      </x:c>
      <x:c r="F51" s="161" t="n">
        <x:f>SUM(F47:F50)</x:f>
        <x:v>885000</x:v>
      </x:c>
      <x:c r="G51" s="161" t="n">
        <x:f>SUM(G47:G50)</x:f>
        <x:v>1555000</x:v>
      </x:c>
      <x:c r="H51" s="161" t="n">
        <x:f>SUM(H47:H50)</x:f>
        <x:v>2350000</x:v>
      </x:c>
      <x:c r="I51" s="86"/>
      <x:c r="J51" s="86"/>
    </x:row>
    <x:row r="52">
      <x:c r="A52" s="1"/>
      <x:c r="B52" s="1"/>
      <x:c r="C52" s="86"/>
      <x:c r="D52" s="171"/>
      <x:c r="E52" s="171"/>
      <x:c r="F52" s="171"/>
      <x:c r="G52" s="171"/>
      <x:c r="H52" s="171"/>
      <x:c r="I52" s="86"/>
      <x:c r="J52" s="86"/>
    </x:row>
    <x:row r="53">
      <x:c r="A53" s="1"/>
      <x:c r="B53" s="1"/>
      <x:c r="C53" s="92" t="str">
        <x:v>Economía del marketplace</x:v>
      </x:c>
      <x:c r="D53" s="173"/>
      <x:c r="E53" s="173"/>
      <x:c r="F53" s="173"/>
      <x:c r="G53" s="173"/>
      <x:c r="H53" s="174"/>
      <x:c r="I53" s="86"/>
      <x:c r="J53" s="86"/>
    </x:row>
    <x:row r="54">
      <x:c r="A54" s="1"/>
      <x:c r="B54" s="1"/>
      <x:c r="C54" s="86"/>
      <x:c r="D54" s="171"/>
      <x:c r="E54" s="171"/>
      <x:c r="F54" s="171"/>
      <x:c r="G54" s="171"/>
      <x:c r="H54" s="171"/>
      <x:c r="I54" s="86"/>
      <x:c r="J54" s="86"/>
    </x:row>
    <x:row r="55">
      <x:c r="A55" s="1"/>
      <x:c r="B55" s="1"/>
      <x:c r="C55" s="86" t="str">
        <x:v>Comisión cliente</x:v>
      </x:c>
      <x:c r="D55" s="177" t="n">
        <x:v>0.1</x:v>
      </x:c>
      <x:c r="E55" s="177" t="n">
        <x:v>0.1</x:v>
      </x:c>
      <x:c r="F55" s="177" t="n">
        <x:v>0.1</x:v>
      </x:c>
      <x:c r="G55" s="177" t="n">
        <x:v>0.1</x:v>
      </x:c>
      <x:c r="H55" s="177" t="n">
        <x:v>0.1</x:v>
      </x:c>
      <x:c r="I55" s="86"/>
      <x:c r="J55" s="86"/>
    </x:row>
    <x:row r="56">
      <x:c r="A56" s="1"/>
      <x:c r="B56" s="1"/>
      <x:c r="C56" s="86" t="str">
        <x:v>Comisión proveedor objetivo</x:v>
      </x:c>
      <x:c r="D56" s="177" t="n">
        <x:v>0.1</x:v>
      </x:c>
      <x:c r="E56" s="177" t="n">
        <x:v>0.1</x:v>
      </x:c>
      <x:c r="F56" s="177" t="n">
        <x:v>0.1</x:v>
      </x:c>
      <x:c r="G56" s="177" t="n">
        <x:v>0.1</x:v>
      </x:c>
      <x:c r="H56" s="177" t="n">
        <x:v>0.1</x:v>
      </x:c>
      <x:c r="I56" s="86"/>
      <x:c r="J56" s="86"/>
    </x:row>
    <x:row r="57">
      <x:c r="A57" s="1"/>
      <x:c r="B57" s="1"/>
      <x:c r="C57" s="86" t="str">
        <x:v>Comisión proveedor histórica</x:v>
      </x:c>
      <x:c r="D57" s="177" t="n">
        <x:v>0.05</x:v>
      </x:c>
      <x:c r="E57" s="177" t="n">
        <x:v>0.05</x:v>
      </x:c>
      <x:c r="F57" s="177" t="n">
        <x:v>0.05</x:v>
      </x:c>
      <x:c r="G57" s="177" t="n">
        <x:v>0.05</x:v>
      </x:c>
      <x:c r="H57" s="177" t="n">
        <x:v>0.05</x:v>
      </x:c>
      <x:c r="I57" s="86"/>
      <x:c r="J57" s="86"/>
    </x:row>
    <x:row r="58">
      <x:c r="A58" s="1"/>
      <x:c r="B58" s="1"/>
      <x:c r="C58" s="86" t="str">
        <x:v>Comisión mínima por lado (€)</x:v>
      </x:c>
      <x:c r="D58" s="182" t="n">
        <x:v>2</x:v>
      </x:c>
      <x:c r="E58" s="182" t="n">
        <x:v>2</x:v>
      </x:c>
      <x:c r="F58" s="182" t="n">
        <x:v>2</x:v>
      </x:c>
      <x:c r="G58" s="182" t="n">
        <x:v>2</x:v>
      </x:c>
      <x:c r="H58" s="182" t="n">
        <x:v>2</x:v>
      </x:c>
      <x:c r="I58" s="86"/>
      <x:c r="J58" s="86"/>
    </x:row>
    <x:row r="59">
      <x:c r="A59" s="1"/>
      <x:c r="B59" s="1"/>
      <x:c r="C59" s="86" t="str">
        <x:v>Comisión cliente finalmente retenida</x:v>
      </x:c>
      <x:c r="D59" s="177" t="n">
        <x:v>0.98</x:v>
      </x:c>
      <x:c r="E59" s="177" t="n">
        <x:v>0.98</x:v>
      </x:c>
      <x:c r="F59" s="177" t="n">
        <x:v>0.98</x:v>
      </x:c>
      <x:c r="G59" s="177" t="n">
        <x:v>0.98</x:v>
      </x:c>
      <x:c r="H59" s="177" t="n">
        <x:v>0.98</x:v>
      </x:c>
      <x:c r="I59" s="86"/>
      <x:c r="J59" s="86"/>
    </x:row>
    <x:row r="60">
      <x:c r="A60" s="1"/>
      <x:c r="B60" s="1"/>
      <x:c r="C60" s="86" t="str">
        <x:v>GMV finalmente adjudicado al proveedor</x:v>
      </x:c>
      <x:c r="D60" s="177" t="n">
        <x:v>0.97</x:v>
      </x:c>
      <x:c r="E60" s="177" t="n">
        <x:v>0.97</x:v>
      </x:c>
      <x:c r="F60" s="177" t="n">
        <x:v>0.97</x:v>
      </x:c>
      <x:c r="G60" s="177" t="n">
        <x:v>0.97</x:v>
      </x:c>
      <x:c r="H60" s="177" t="n">
        <x:v>0.97</x:v>
      </x:c>
      <x:c r="I60" s="86"/>
      <x:c r="J60" s="86"/>
    </x:row>
    <x:row r="61">
      <x:c r="A61" s="1"/>
      <x:c r="B61" s="1"/>
      <x:c r="C61" s="86" t="str">
        <x:v>GMV promocional sin comisión al proveedor</x:v>
      </x:c>
      <x:c r="D61" s="177" t="n">
        <x:v>0.25</x:v>
      </x:c>
      <x:c r="E61" s="177" t="n">
        <x:v>0</x:v>
      </x:c>
      <x:c r="F61" s="177" t="n">
        <x:v>0</x:v>
      </x:c>
      <x:c r="G61" s="177" t="n">
        <x:v>0</x:v>
      </x:c>
      <x:c r="H61" s="177" t="n">
        <x:v>0</x:v>
      </x:c>
      <x:c r="I61" s="86"/>
      <x:c r="J61" s="86"/>
    </x:row>
    <x:row r="62">
      <x:c r="A62" s="1"/>
      <x:c r="B62" s="1"/>
      <x:c r="C62" s="86" t="str">
        <x:v>IVA general</x:v>
      </x:c>
      <x:c r="D62" s="177" t="n">
        <x:v>0.21</x:v>
      </x:c>
      <x:c r="E62" s="177" t="n">
        <x:v>0.21</x:v>
      </x:c>
      <x:c r="F62" s="177" t="n">
        <x:v>0.21</x:v>
      </x:c>
      <x:c r="G62" s="177" t="n">
        <x:v>0.21</x:v>
      </x:c>
      <x:c r="H62" s="177" t="n">
        <x:v>0.21</x:v>
      </x:c>
      <x:c r="I62" s="86"/>
      <x:c r="J62" s="86"/>
    </x:row>
    <x:row r="63">
      <x:c r="A63" s="1"/>
      <x:c r="B63" s="1"/>
      <x:c r="C63" s="86" t="str">
        <x:v>Provisión por contracargos, fraude e incidencias</x:v>
      </x:c>
      <x:c r="D63" s="177" t="n">
        <x:v>0.005</x:v>
      </x:c>
      <x:c r="E63" s="177" t="n">
        <x:v>0.005</x:v>
      </x:c>
      <x:c r="F63" s="177" t="n">
        <x:v>0.005</x:v>
      </x:c>
      <x:c r="G63" s="177" t="n">
        <x:v>0.005</x:v>
      </x:c>
      <x:c r="H63" s="177" t="n">
        <x:v>0.005</x:v>
      </x:c>
      <x:c r="I63" s="86"/>
      <x:c r="J63" s="86"/>
    </x:row>
    <x:row r="64">
      <x:c r="A64" s="1"/>
      <x:c r="B64" s="1"/>
      <x:c r="C64" s="86"/>
      <x:c r="D64" s="171"/>
      <x:c r="E64" s="171"/>
      <x:c r="F64" s="171"/>
      <x:c r="G64" s="171"/>
      <x:c r="H64" s="171"/>
      <x:c r="I64" s="86"/>
      <x:c r="J64" s="86"/>
    </x:row>
    <x:row r="65">
      <x:c r="A65" s="1"/>
      <x:c r="B65" s="1"/>
      <x:c r="C65" s="92" t="str">
        <x:v>Stripe — tarifa pública usada en el modelo</x:v>
      </x:c>
      <x:c r="D65" s="173"/>
      <x:c r="E65" s="173"/>
      <x:c r="F65" s="173"/>
      <x:c r="G65" s="173"/>
      <x:c r="H65" s="174"/>
      <x:c r="I65" s="86"/>
      <x:c r="J65" s="86"/>
    </x:row>
    <x:row r="66">
      <x:c r="A66" s="1"/>
      <x:c r="B66" s="1"/>
      <x:c r="C66" s="86"/>
      <x:c r="D66" s="171"/>
      <x:c r="E66" s="171"/>
      <x:c r="F66" s="171"/>
      <x:c r="G66" s="171"/>
      <x:c r="H66" s="171"/>
      <x:c r="I66" s="86"/>
      <x:c r="J66" s="86"/>
    </x:row>
    <x:row r="67">
      <x:c r="A67" s="1"/>
      <x:c r="B67" s="1"/>
      <x:c r="C67" s="86" t="str">
        <x:v>Cobro con tarjeta EEE estándar</x:v>
      </x:c>
      <x:c r="D67" s="183" t="n">
        <x:v>0.015</x:v>
      </x:c>
      <x:c r="E67" s="183" t="n">
        <x:v>0.015</x:v>
      </x:c>
      <x:c r="F67" s="183" t="n">
        <x:v>0.015</x:v>
      </x:c>
      <x:c r="G67" s="183" t="n">
        <x:v>0.015</x:v>
      </x:c>
      <x:c r="H67" s="183" t="n">
        <x:v>0.015</x:v>
      </x:c>
      <x:c r="I67" s="86"/>
      <x:c r="J67" s="86"/>
    </x:row>
    <x:row r="68">
      <x:c r="A68" s="1"/>
      <x:c r="B68" s="1"/>
      <x:c r="C68" s="86" t="str">
        <x:v>Fijo por cobro (€)</x:v>
      </x:c>
      <x:c r="D68" s="182" t="n">
        <x:v>0.25</x:v>
      </x:c>
      <x:c r="E68" s="182" t="n">
        <x:v>0.25</x:v>
      </x:c>
      <x:c r="F68" s="182" t="n">
        <x:v>0.25</x:v>
      </x:c>
      <x:c r="G68" s="182" t="n">
        <x:v>0.25</x:v>
      </x:c>
      <x:c r="H68" s="182" t="n">
        <x:v>0.25</x:v>
      </x:c>
      <x:c r="I68" s="86"/>
      <x:c r="J68" s="86"/>
    </x:row>
    <x:row r="69">
      <x:c r="A69" s="1"/>
      <x:c r="B69" s="1"/>
      <x:c r="C69" s="86" t="str">
        <x:v>Variable por payout</x:v>
      </x:c>
      <x:c r="D69" s="183" t="n">
        <x:v>0.0025</x:v>
      </x:c>
      <x:c r="E69" s="183" t="n">
        <x:v>0.0025</x:v>
      </x:c>
      <x:c r="F69" s="183" t="n">
        <x:v>0.0025</x:v>
      </x:c>
      <x:c r="G69" s="183" t="n">
        <x:v>0.0025</x:v>
      </x:c>
      <x:c r="H69" s="183" t="n">
        <x:v>0.0025</x:v>
      </x:c>
      <x:c r="I69" s="86"/>
      <x:c r="J69" s="86"/>
    </x:row>
    <x:row r="70">
      <x:c r="A70" s="1"/>
      <x:c r="B70" s="1"/>
      <x:c r="C70" s="86" t="str">
        <x:v>Fijo por payout (€)</x:v>
      </x:c>
      <x:c r="D70" s="182" t="n">
        <x:v>0.1</x:v>
      </x:c>
      <x:c r="E70" s="182" t="n">
        <x:v>0.1</x:v>
      </x:c>
      <x:c r="F70" s="182" t="n">
        <x:v>0.1</x:v>
      </x:c>
      <x:c r="G70" s="182" t="n">
        <x:v>0.1</x:v>
      </x:c>
      <x:c r="H70" s="182" t="n">
        <x:v>0.1</x:v>
      </x:c>
      <x:c r="I70" s="86"/>
      <x:c r="J70" s="86"/>
    </x:row>
    <x:row r="71">
      <x:c r="A71" s="1"/>
      <x:c r="B71" s="1"/>
      <x:c r="C71" s="86" t="str">
        <x:v>Cuenta activa por mes (€)</x:v>
      </x:c>
      <x:c r="D71" s="182" t="n">
        <x:v>2</x:v>
      </x:c>
      <x:c r="E71" s="182" t="n">
        <x:v>2</x:v>
      </x:c>
      <x:c r="F71" s="182" t="n">
        <x:v>2</x:v>
      </x:c>
      <x:c r="G71" s="182" t="n">
        <x:v>2</x:v>
      </x:c>
      <x:c r="H71" s="182" t="n">
        <x:v>2</x:v>
      </x:c>
      <x:c r="I71" s="86"/>
      <x:c r="J71" s="86"/>
    </x:row>
    <x:row r="72">
      <x:c r="A72" s="1"/>
      <x:c r="B72" s="1"/>
      <x:c r="C72" s="86" t="str">
        <x:v>Payouts bancarios por mes activo</x:v>
      </x:c>
      <x:c r="D72" s="184" t="n">
        <x:v>1</x:v>
      </x:c>
      <x:c r="E72" s="184" t="n">
        <x:v>1</x:v>
      </x:c>
      <x:c r="F72" s="184" t="n">
        <x:v>1</x:v>
      </x:c>
      <x:c r="G72" s="184" t="n">
        <x:v>1</x:v>
      </x:c>
      <x:c r="H72" s="184" t="n">
        <x:v>1</x:v>
      </x:c>
      <x:c r="I72" s="86"/>
      <x:c r="J72" s="86"/>
    </x:row>
    <x:row r="73">
      <x:c r="A73" s="1"/>
      <x:c r="B73" s="1"/>
      <x:c r="C73" s="86"/>
      <x:c r="D73" s="171"/>
      <x:c r="E73" s="171"/>
      <x:c r="F73" s="171"/>
      <x:c r="G73" s="171"/>
      <x:c r="H73" s="171"/>
      <x:c r="I73" s="86"/>
      <x:c r="J73" s="86"/>
    </x:row>
    <x:row r="74">
      <x:c r="A74" s="1"/>
      <x:c r="B74" s="1"/>
      <x:c r="C74" s="92" t="str">
        <x:v>Mollie Connect — tarifa pública orientativa</x:v>
      </x:c>
      <x:c r="D74" s="173"/>
      <x:c r="E74" s="173"/>
      <x:c r="F74" s="173"/>
      <x:c r="G74" s="173"/>
      <x:c r="H74" s="174"/>
      <x:c r="I74" s="86"/>
      <x:c r="J74" s="86"/>
    </x:row>
    <x:row r="75">
      <x:c r="A75" s="1"/>
      <x:c r="B75" s="1"/>
      <x:c r="C75" s="86"/>
      <x:c r="D75" s="171"/>
      <x:c r="E75" s="171"/>
      <x:c r="F75" s="171"/>
      <x:c r="G75" s="171"/>
      <x:c r="H75" s="171"/>
      <x:c r="I75" s="86"/>
      <x:c r="J75" s="86"/>
    </x:row>
    <x:row r="76">
      <x:c r="A76" s="1"/>
      <x:c r="B76" s="1"/>
      <x:c r="C76" s="86" t="str">
        <x:v>Peso de tarjetas españolas de consumo</x:v>
      </x:c>
      <x:c r="D76" s="183" t="n">
        <x:v>0.8</x:v>
      </x:c>
      <x:c r="E76" s="183" t="n">
        <x:v>0.8</x:v>
      </x:c>
      <x:c r="F76" s="183" t="n">
        <x:v>0.8</x:v>
      </x:c>
      <x:c r="G76" s="183" t="n">
        <x:v>0.8</x:v>
      </x:c>
      <x:c r="H76" s="183" t="n">
        <x:v>0.8</x:v>
      </x:c>
      <x:c r="I76" s="86"/>
      <x:c r="J76" s="86"/>
    </x:row>
    <x:row r="77">
      <x:c r="A77" s="1"/>
      <x:c r="B77" s="1"/>
      <x:c r="C77" s="86" t="str">
        <x:v>Tarjeta española de consumo</x:v>
      </x:c>
      <x:c r="D77" s="183" t="n">
        <x:v>0.012</x:v>
      </x:c>
      <x:c r="E77" s="183" t="n">
        <x:v>0.012</x:v>
      </x:c>
      <x:c r="F77" s="183" t="n">
        <x:v>0.012</x:v>
      </x:c>
      <x:c r="G77" s="183" t="n">
        <x:v>0.012</x:v>
      </x:c>
      <x:c r="H77" s="183" t="n">
        <x:v>0.012</x:v>
      </x:c>
      <x:c r="I77" s="86"/>
      <x:c r="J77" s="86"/>
    </x:row>
    <x:row r="78">
      <x:c r="A78" s="1"/>
      <x:c r="B78" s="1"/>
      <x:c r="C78" s="86" t="str">
        <x:v>Otra tarjeta EEE de consumo</x:v>
      </x:c>
      <x:c r="D78" s="183" t="n">
        <x:v>0.018</x:v>
      </x:c>
      <x:c r="E78" s="183" t="n">
        <x:v>0.018</x:v>
      </x:c>
      <x:c r="F78" s="183" t="n">
        <x:v>0.018</x:v>
      </x:c>
      <x:c r="G78" s="183" t="n">
        <x:v>0.018</x:v>
      </x:c>
      <x:c r="H78" s="183" t="n">
        <x:v>0.018</x:v>
      </x:c>
      <x:c r="I78" s="86"/>
      <x:c r="J78" s="86"/>
    </x:row>
    <x:row r="79">
      <x:c r="A79" s="1"/>
      <x:c r="B79" s="1"/>
      <x:c r="C79" s="86" t="str">
        <x:v>Fijo por cobro (€)</x:v>
      </x:c>
      <x:c r="D79" s="182" t="n">
        <x:v>0.25</x:v>
      </x:c>
      <x:c r="E79" s="182" t="n">
        <x:v>0.25</x:v>
      </x:c>
      <x:c r="F79" s="182" t="n">
        <x:v>0.25</x:v>
      </x:c>
      <x:c r="G79" s="182" t="n">
        <x:v>0.25</x:v>
      </x:c>
      <x:c r="H79" s="182" t="n">
        <x:v>0.25</x:v>
      </x:c>
      <x:c r="I79" s="86"/>
      <x:c r="J79" s="86"/>
    </x:row>
    <x:row r="80">
      <x:c r="A80" s="1"/>
      <x:c r="B80" s="1"/>
      <x:c r="C80" s="86" t="str">
        <x:v>Routing sobre importe enviado</x:v>
      </x:c>
      <x:c r="D80" s="183" t="n">
        <x:v>0.002</x:v>
      </x:c>
      <x:c r="E80" s="183" t="n">
        <x:v>0.002</x:v>
      </x:c>
      <x:c r="F80" s="183" t="n">
        <x:v>0.002</x:v>
      </x:c>
      <x:c r="G80" s="183" t="n">
        <x:v>0.002</x:v>
      </x:c>
      <x:c r="H80" s="183" t="n">
        <x:v>0.002</x:v>
      </x:c>
      <x:c r="I80" s="86"/>
      <x:c r="J80" s="86"/>
    </x:row>
    <x:row r="81">
      <x:c r="A81" s="1"/>
      <x:c r="B81" s="1"/>
      <x:c r="C81" s="86" t="str">
        <x:v>Cuenta conectada activa por mes (€)</x:v>
      </x:c>
      <x:c r="D81" s="182" t="n">
        <x:v>1.75</x:v>
      </x:c>
      <x:c r="E81" s="182" t="n">
        <x:v>1.75</x:v>
      </x:c>
      <x:c r="F81" s="182" t="n">
        <x:v>1.75</x:v>
      </x:c>
      <x:c r="G81" s="182" t="n">
        <x:v>1.75</x:v>
      </x:c>
      <x:c r="H81" s="182" t="n">
        <x:v>1.75</x:v>
      </x:c>
      <x:c r="I81" s="86"/>
      <x:c r="J81" s="86"/>
    </x:row>
    <x:row r="82">
      <x:c r="A82" s="1"/>
      <x:c r="B82" s="1"/>
      <x:c r="C82" s="86"/>
      <x:c r="D82" s="171"/>
      <x:c r="E82" s="171"/>
      <x:c r="F82" s="171"/>
      <x:c r="G82" s="171"/>
      <x:c r="H82" s="171"/>
      <x:c r="I82" s="86"/>
      <x:c r="J82" s="86"/>
    </x:row>
    <x:row r="83">
      <x:c r="A83" s="1"/>
      <x:c r="B83" s="1"/>
      <x:c r="C83" s="92" t="str">
        <x:v>Lemonway — tarifa Starter pública</x:v>
      </x:c>
      <x:c r="D83" s="173"/>
      <x:c r="E83" s="173"/>
      <x:c r="F83" s="173"/>
      <x:c r="G83" s="173"/>
      <x:c r="H83" s="174"/>
      <x:c r="I83" s="86"/>
      <x:c r="J83" s="86"/>
    </x:row>
    <x:row r="84">
      <x:c r="A84" s="1"/>
      <x:c r="B84" s="1"/>
      <x:c r="C84" s="86"/>
      <x:c r="D84" s="171"/>
      <x:c r="E84" s="171"/>
      <x:c r="F84" s="171"/>
      <x:c r="G84" s="171"/>
      <x:c r="H84" s="171"/>
      <x:c r="I84" s="86"/>
      <x:c r="J84" s="86"/>
    </x:row>
    <x:row r="85">
      <x:c r="A85" s="1"/>
      <x:c r="B85" s="1"/>
      <x:c r="C85" s="86" t="str">
        <x:v>Cobro con tarjeta</x:v>
      </x:c>
      <x:c r="D85" s="183" t="n">
        <x:v>0.011</x:v>
      </x:c>
      <x:c r="E85" s="183" t="n">
        <x:v>0.011</x:v>
      </x:c>
      <x:c r="F85" s="183" t="n">
        <x:v>0.011</x:v>
      </x:c>
      <x:c r="G85" s="183" t="n">
        <x:v>0.011</x:v>
      </x:c>
      <x:c r="H85" s="183" t="n">
        <x:v>0.011</x:v>
      </x:c>
      <x:c r="I85" s="86"/>
      <x:c r="J85" s="86"/>
    </x:row>
    <x:row r="86">
      <x:c r="A86" s="1"/>
      <x:c r="B86" s="1"/>
      <x:c r="C86" s="86" t="str">
        <x:v>Fijo por cobro (€)</x:v>
      </x:c>
      <x:c r="D86" s="185" t="n">
        <x:v>0.25</x:v>
      </x:c>
      <x:c r="E86" s="185" t="n">
        <x:v>0.25</x:v>
      </x:c>
      <x:c r="F86" s="185" t="n">
        <x:v>0.25</x:v>
      </x:c>
      <x:c r="G86" s="185" t="n">
        <x:v>0.25</x:v>
      </x:c>
      <x:c r="H86" s="185" t="n">
        <x:v>0.25</x:v>
      </x:c>
      <x:c r="I86" s="86"/>
      <x:c r="J86" s="86"/>
    </x:row>
    <x:row r="87">
      <x:c r="A87" s="1"/>
      <x:c r="B87" s="1"/>
      <x:c r="C87" s="86" t="str">
        <x:v>Payout europeo (€)</x:v>
      </x:c>
      <x:c r="D87" s="185" t="n">
        <x:v>0.5</x:v>
      </x:c>
      <x:c r="E87" s="185" t="n">
        <x:v>0.5</x:v>
      </x:c>
      <x:c r="F87" s="185" t="n">
        <x:v>0.5</x:v>
      </x:c>
      <x:c r="G87" s="185" t="n">
        <x:v>0.5</x:v>
      </x:c>
      <x:c r="H87" s="185" t="n">
        <x:v>0.5</x:v>
      </x:c>
      <x:c r="I87" s="86"/>
      <x:c r="J87" s="86"/>
    </x:row>
    <x:row r="88">
      <x:c r="A88" s="1"/>
      <x:c r="B88" s="1"/>
      <x:c r="C88" s="86" t="str">
        <x:v>Identificación individual por mes (€)</x:v>
      </x:c>
      <x:c r="D88" s="185" t="n">
        <x:v>0.4</x:v>
      </x:c>
      <x:c r="E88" s="185" t="n">
        <x:v>0.4</x:v>
      </x:c>
      <x:c r="F88" s="185" t="n">
        <x:v>0.4</x:v>
      </x:c>
      <x:c r="G88" s="185" t="n">
        <x:v>0.4</x:v>
      </x:c>
      <x:c r="H88" s="185" t="n">
        <x:v>0.4</x:v>
      </x:c>
      <x:c r="I88" s="86"/>
      <x:c r="J88" s="86"/>
    </x:row>
    <x:row r="89">
      <x:c r="A89" s="1"/>
      <x:c r="B89" s="1"/>
      <x:c r="C89" s="86" t="str">
        <x:v>Soporte anual (€)</x:v>
      </x:c>
      <x:c r="D89" s="185" t="n">
        <x:v>10080</x:v>
      </x:c>
      <x:c r="E89" s="185" t="n">
        <x:v>10080</x:v>
      </x:c>
      <x:c r="F89" s="185" t="n">
        <x:v>10080</x:v>
      </x:c>
      <x:c r="G89" s="185" t="n">
        <x:v>10080</x:v>
      </x:c>
      <x:c r="H89" s="185" t="n">
        <x:v>10080</x:v>
      </x:c>
      <x:c r="I89" s="86"/>
      <x:c r="J89" s="86"/>
    </x:row>
    <x:row r="90">
      <x:c r="A90" s="1"/>
      <x:c r="B90" s="1"/>
      <x:c r="C90" s="86" t="str">
        <x:v>Alta inicial (€)</x:v>
      </x:c>
      <x:c r="D90" s="185" t="n">
        <x:v>5490</x:v>
      </x:c>
      <x:c r="E90" s="185" t="n">
        <x:v>0</x:v>
      </x:c>
      <x:c r="F90" s="185" t="n">
        <x:v>0</x:v>
      </x:c>
      <x:c r="G90" s="185" t="n">
        <x:v>0</x:v>
      </x:c>
      <x:c r="H90" s="185" t="n">
        <x:v>0</x:v>
      </x:c>
      <x:c r="I90" s="86"/>
      <x:c r="J90" s="86"/>
    </x:row>
    <x:row r="91">
      <x:c r="A91" s="1"/>
      <x:c r="B91" s="1"/>
      <x:c r="C91" s="86"/>
      <x:c r="D91" s="86"/>
      <x:c r="E91" s="86"/>
      <x:c r="F91" s="86"/>
      <x:c r="G91" s="86"/>
      <x:c r="H91" s="86"/>
      <x:c r="I91" s="86"/>
      <x:c r="J91" s="86"/>
    </x:row>
    <x:row r="92">
      <x:c r="A92" s="1"/>
      <x:c r="B92" s="1"/>
      <x:c r="C92" s="86"/>
      <x:c r="D92" s="86"/>
      <x:c r="E92" s="86"/>
      <x:c r="F92" s="86"/>
      <x:c r="G92" s="86"/>
      <x:c r="H92" s="86"/>
      <x:c r="I92" s="86"/>
      <x:c r="J92" s="86"/>
    </x:row>
  </x:sheetData>
  <x:dataValidations count="3">
    <x:dataValidation type="list" sqref="D6">
      <x:formula1>"Bear,Base,Upside"</x:formula1>
    </x:dataValidation>
    <x:dataValidation type="list" sqref="G6">
      <x:formula1>"Stripe,Mollie,Lemonway"</x:formula1>
    </x:dataValidation>
    <x:dataValidation type="list" sqref="J6">
      <x:formula1>"Sí,No"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4" ySplit="7" topLeftCell="E8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47" hidden="0" customWidth="1"/>
    <x:col min="4" max="4" width="15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</x:cols>
  <x:sheetData>
    <x:row r="1">
      <x:c r="A1" s="1"/>
      <x:c r="B1" s="1"/>
      <x:c r="C1" s="86"/>
      <x:c r="D1" s="86"/>
      <x:c r="E1" s="86"/>
      <x:c r="F1" s="86"/>
      <x:c r="G1" s="86"/>
      <x:c r="H1" s="86"/>
      <x:c r="I1" s="86"/>
    </x:row>
    <x:row r="2">
      <x:c r="A2" s="1"/>
      <x:c r="B2" s="1"/>
      <x:c r="C2" s="87" t="str">
        <x:v>Diime — Modelo operativo y P&amp;L</x:v>
      </x:c>
      <x:c r="D2" s="88"/>
      <x:c r="E2" s="88"/>
      <x:c r="F2" s="88"/>
      <x:c r="G2" s="88"/>
      <x:c r="H2" s="88"/>
      <x:c r="I2" s="88"/>
    </x:row>
    <x:row r="3">
      <x:c r="A3" s="1"/>
      <x:c r="B3" s="1"/>
      <x:c r="C3" s="89" t="str">
        <x:v>Importes en euros. El dinero del servicio pertenece al proveedor: Diime reconoce únicamente sus comisiones netas de IVA.</x:v>
      </x:c>
      <x:c r="D3" s="89"/>
      <x:c r="E3" s="89"/>
      <x:c r="F3" s="89"/>
      <x:c r="G3" s="89"/>
      <x:c r="H3" s="89"/>
      <x:c r="I3" s="89"/>
    </x:row>
    <x:row r="4">
      <x:c r="A4" s="1"/>
      <x:c r="B4" s="1"/>
      <x:c r="C4" s="86"/>
      <x:c r="D4" s="86"/>
      <x:c r="E4" s="86"/>
      <x:c r="F4" s="86"/>
      <x:c r="G4" s="86"/>
      <x:c r="H4" s="86"/>
      <x:c r="I4" s="86"/>
    </x:row>
    <x:row r="5">
      <x:c r="A5" s="1"/>
      <x:c r="B5" s="1"/>
      <x:c r="C5" s="86"/>
      <x:c r="D5" s="86"/>
      <x:c r="E5" s="86"/>
      <x:c r="F5" s="86"/>
      <x:c r="G5" s="86"/>
      <x:c r="H5" s="86"/>
      <x:c r="I5" s="86"/>
    </x:row>
    <x:row r="6">
      <x:c r="A6" s="1"/>
      <x:c r="B6" s="1"/>
      <x:c r="C6" s="86"/>
      <x:c r="D6" s="86"/>
      <x:c r="E6" s="86"/>
      <x:c r="F6" s="86"/>
      <x:c r="G6" s="86"/>
      <x:c r="H6" s="86"/>
      <x:c r="I6" s="86"/>
    </x:row>
    <x:row r="7">
      <x:c r="A7" s="1"/>
      <x:c r="B7" s="1"/>
      <x:c r="C7" s="17" t="str">
        <x:v>Métrica</x:v>
      </x:c>
      <x:c r="D7" s="17" t="str">
        <x:v>Unidad</x:v>
      </x:c>
      <x:c r="E7" s="17" t="n">
        <x:v>2027</x:v>
      </x:c>
      <x:c r="F7" s="17" t="n">
        <x:v>2028</x:v>
      </x:c>
      <x:c r="G7" s="17" t="n">
        <x:v>2029</x:v>
      </x:c>
      <x:c r="H7" s="17" t="n">
        <x:v>2030</x:v>
      </x:c>
      <x:c r="I7" s="17" t="n">
        <x:v>2031</x:v>
      </x:c>
    </x:row>
    <x:row r="8">
      <x:c r="A8" s="1"/>
      <x:c r="B8" s="1"/>
      <x:c r="C8" s="86"/>
      <x:c r="D8" s="86"/>
      <x:c r="E8" s="86"/>
      <x:c r="F8" s="86"/>
      <x:c r="G8" s="86"/>
      <x:c r="H8" s="86"/>
      <x:c r="I8" s="86"/>
    </x:row>
    <x:row r="9">
      <x:c r="A9" s="1"/>
      <x:c r="B9" s="1"/>
      <x:c r="C9" s="92" t="str">
        <x:v>Actividad</x:v>
      </x:c>
      <x:c r="D9" s="93"/>
      <x:c r="E9" s="93"/>
      <x:c r="F9" s="93"/>
      <x:c r="G9" s="93"/>
      <x:c r="H9" s="93"/>
      <x:c r="I9" s="94"/>
    </x:row>
    <x:row r="10">
      <x:c r="A10" s="1"/>
      <x:c r="B10" s="1"/>
      <x:c r="C10" s="86"/>
      <x:c r="D10" s="86"/>
      <x:c r="E10" s="86"/>
      <x:c r="F10" s="86"/>
      <x:c r="G10" s="86"/>
      <x:c r="H10" s="86"/>
      <x:c r="I10" s="86"/>
    </x:row>
    <x:row r="11">
      <x:c r="A11" s="1"/>
      <x:c r="B11" s="1"/>
      <x:c r="C11" s="86" t="str">
        <x:v>Solicitudes publicadas</x:v>
      </x:c>
      <x:c r="D11" s="86" t="str">
        <x:v>nº</x:v>
      </x:c>
      <x:c r="E11" s="157" t="n">
        <x:f>'Supuestos'!D15</x:f>
        <x:v>180</x:v>
      </x:c>
      <x:c r="F11" s="157" t="n">
        <x:f>'Supuestos'!E15</x:f>
        <x:v>1200</x:v>
      </x:c>
      <x:c r="G11" s="157" t="n">
        <x:f>'Supuestos'!F15</x:f>
        <x:v>5000</x:v>
      </x:c>
      <x:c r="H11" s="157" t="n">
        <x:f>'Supuestos'!G15</x:f>
        <x:v>15000</x:v>
      </x:c>
      <x:c r="I11" s="157" t="n">
        <x:f>'Supuestos'!H15</x:f>
        <x:v>30000</x:v>
      </x:c>
    </x:row>
    <x:row r="12">
      <x:c r="A12" s="1"/>
      <x:c r="B12" s="1"/>
      <x:c r="C12" s="86" t="str">
        <x:v>Conversión a pago</x:v>
      </x:c>
      <x:c r="D12" s="86" t="str">
        <x:v>%</x:v>
      </x:c>
      <x:c r="E12" s="158" t="n">
        <x:f>'Supuestos'!D22</x:f>
        <x:v>0.2</x:v>
      </x:c>
      <x:c r="F12" s="158" t="n">
        <x:f>'Supuestos'!E22</x:f>
        <x:v>0.25</x:v>
      </x:c>
      <x:c r="G12" s="158" t="n">
        <x:f>'Supuestos'!F22</x:f>
        <x:v>0.3</x:v>
      </x:c>
      <x:c r="H12" s="158" t="n">
        <x:f>'Supuestos'!G22</x:f>
        <x:v>0.35</x:v>
      </x:c>
      <x:c r="I12" s="158" t="n">
        <x:f>'Supuestos'!H22</x:f>
        <x:v>0.4</x:v>
      </x:c>
    </x:row>
    <x:row r="13">
      <x:c r="A13" s="1"/>
      <x:c r="B13" s="1"/>
      <x:c r="C13" s="86" t="str">
        <x:v>Trabajos pagados</x:v>
      </x:c>
      <x:c r="D13" s="86" t="str">
        <x:v>nº</x:v>
      </x:c>
      <x:c r="E13" s="151" t="n">
        <x:f>ROUND(E11*E12,0)</x:f>
        <x:v>36</x:v>
      </x:c>
      <x:c r="F13" s="151" t="n">
        <x:f>ROUND(F11*F12,0)</x:f>
        <x:v>300</x:v>
      </x:c>
      <x:c r="G13" s="151" t="n">
        <x:f>ROUND(G11*G12,0)</x:f>
        <x:v>1500</x:v>
      </x:c>
      <x:c r="H13" s="151" t="n">
        <x:f>ROUND(H11*H12,0)</x:f>
        <x:v>5250</x:v>
      </x:c>
      <x:c r="I13" s="151" t="n">
        <x:f>ROUND(I11*I12,0)</x:f>
        <x:v>12000</x:v>
      </x:c>
    </x:row>
    <x:row r="14">
      <x:c r="A14" s="1"/>
      <x:c r="B14" s="1"/>
      <x:c r="C14" s="86" t="str">
        <x:v>Ticket medio</x:v>
      </x:c>
      <x:c r="D14" s="86" t="str">
        <x:v>€ / trabajo</x:v>
      </x:c>
      <x:c r="E14" s="159" t="n">
        <x:f>'Supuestos'!D29</x:f>
        <x:v>1500</x:v>
      </x:c>
      <x:c r="F14" s="159" t="n">
        <x:f>'Supuestos'!E29</x:f>
        <x:v>1545</x:v>
      </x:c>
      <x:c r="G14" s="159" t="n">
        <x:f>'Supuestos'!F29</x:f>
        <x:v>1591.35</x:v>
      </x:c>
      <x:c r="H14" s="159" t="n">
        <x:f>'Supuestos'!G29</x:f>
        <x:v>1639.09</x:v>
      </x:c>
      <x:c r="I14" s="159" t="n">
        <x:f>'Supuestos'!H29</x:f>
        <x:v>1688.26</x:v>
      </x:c>
    </x:row>
    <x:row r="15">
      <x:c r="A15" s="1"/>
      <x:c r="B15" s="1"/>
      <x:c r="C15" s="86" t="str">
        <x:v>Profesionales disponibles estimados</x:v>
      </x:c>
      <x:c r="D15" s="86" t="str">
        <x:v>nº</x:v>
      </x:c>
      <x:c r="E15" s="157" t="n">
        <x:f>'Supuestos'!D36</x:f>
        <x:v>20</x:v>
      </x:c>
      <x:c r="F15" s="157" t="n">
        <x:f>'Supuestos'!E36</x:f>
        <x:v>80</x:v>
      </x:c>
      <x:c r="G15" s="157" t="n">
        <x:f>'Supuestos'!F36</x:f>
        <x:v>300</x:v>
      </x:c>
      <x:c r="H15" s="157" t="n">
        <x:f>'Supuestos'!G36</x:f>
        <x:v>900</x:v>
      </x:c>
      <x:c r="I15" s="157" t="n">
        <x:f>'Supuestos'!H36</x:f>
        <x:v>1800</x:v>
      </x:c>
    </x:row>
    <x:row r="16">
      <x:c r="A16" s="1"/>
      <x:c r="B16" s="1"/>
      <x:c r="C16" s="86" t="str">
        <x:v>Trabajos por profesional y mes</x:v>
      </x:c>
      <x:c r="D16" s="86" t="str">
        <x:v>x</x:v>
      </x:c>
      <x:c r="E16" s="160" t="n">
        <x:f>IF(E15=0,"",E13/(E15*12))</x:f>
        <x:v>0.15</x:v>
      </x:c>
      <x:c r="F16" s="160" t="n">
        <x:f>IF(F15=0,"",F13/(F15*12))</x:f>
        <x:v>0.3125</x:v>
      </x:c>
      <x:c r="G16" s="160" t="n">
        <x:f>IF(G15=0,"",G13/(G15*12))</x:f>
        <x:v>0.4166666666666667</x:v>
      </x:c>
      <x:c r="H16" s="160" t="n">
        <x:f>IF(H15=0,"",H13/(H15*12))</x:f>
        <x:v>0.4861111111111111</x:v>
      </x:c>
      <x:c r="I16" s="160" t="n">
        <x:f>IF(I15=0,"",I13/(I15*12))</x:f>
        <x:v>0.5555555555555556</x:v>
      </x:c>
    </x:row>
    <x:row r="17">
      <x:c r="A17" s="1"/>
      <x:c r="B17" s="1"/>
      <x:c r="C17" s="99" t="str">
        <x:v>GMV</x:v>
      </x:c>
      <x:c r="D17" s="99" t="str">
        <x:v>€</x:v>
      </x:c>
      <x:c r="E17" s="161" t="n">
        <x:f>E13*E14</x:f>
        <x:v>54000</x:v>
      </x:c>
      <x:c r="F17" s="161" t="n">
        <x:f>F13*F14</x:f>
        <x:v>463500</x:v>
      </x:c>
      <x:c r="G17" s="161" t="n">
        <x:f>G13*G14</x:f>
        <x:v>2387025</x:v>
      </x:c>
      <x:c r="H17" s="161" t="n">
        <x:f>H13*H14</x:f>
        <x:v>8605222.5</x:v>
      </x:c>
      <x:c r="I17" s="161" t="n">
        <x:f>I13*I14</x:f>
        <x:v>20259120</x:v>
      </x:c>
    </x:row>
    <x:row r="18">
      <x:c r="A18" s="1"/>
      <x:c r="B18" s="1"/>
      <x:c r="C18" s="86"/>
      <x:c r="D18" s="86"/>
      <x:c r="E18" s="162"/>
      <x:c r="F18" s="162"/>
      <x:c r="G18" s="162"/>
      <x:c r="H18" s="162"/>
      <x:c r="I18" s="162"/>
    </x:row>
    <x:row r="19">
      <x:c r="A19" s="1"/>
      <x:c r="B19" s="1"/>
      <x:c r="C19" s="92" t="str">
        <x:v>Flujo de fondos e ingresos</x:v>
      </x:c>
      <x:c r="D19" s="93"/>
      <x:c r="E19" s="163"/>
      <x:c r="F19" s="163"/>
      <x:c r="G19" s="163"/>
      <x:c r="H19" s="163"/>
      <x:c r="I19" s="164"/>
    </x:row>
    <x:row r="20">
      <x:c r="A20" s="1"/>
      <x:c r="B20" s="1"/>
      <x:c r="C20" s="86"/>
      <x:c r="D20" s="86"/>
      <x:c r="E20" s="162"/>
      <x:c r="F20" s="162"/>
      <x:c r="G20" s="162"/>
      <x:c r="H20" s="162"/>
      <x:c r="I20" s="162"/>
    </x:row>
    <x:row r="21">
      <x:c r="A21" s="1"/>
      <x:c r="B21" s="1"/>
      <x:c r="C21" s="86" t="str">
        <x:v>Comisión cliente cobrada</x:v>
      </x:c>
      <x:c r="D21" s="86" t="str">
        <x:v>€</x:v>
      </x:c>
      <x:c r="E21" s="152" t="n">
        <x:f>E17*'Supuestos'!D55</x:f>
        <x:v>5400</x:v>
      </x:c>
      <x:c r="F21" s="152" t="n">
        <x:f>F17*'Supuestos'!E55</x:f>
        <x:v>46350</x:v>
      </x:c>
      <x:c r="G21" s="152" t="n">
        <x:f>G17*'Supuestos'!F55</x:f>
        <x:v>238702.5</x:v>
      </x:c>
      <x:c r="H21" s="152" t="n">
        <x:f>H17*'Supuestos'!G55</x:f>
        <x:v>860522.25</x:v>
      </x:c>
      <x:c r="I21" s="152" t="n">
        <x:f>I17*'Supuestos'!H55</x:f>
        <x:v>2025912</x:v>
      </x:c>
    </x:row>
    <x:row r="22">
      <x:c r="A22" s="1"/>
      <x:c r="B22" s="1"/>
      <x:c r="C22" s="86" t="str">
        <x:v>Total cobrado a clientes</x:v>
      </x:c>
      <x:c r="D22" s="86" t="str">
        <x:v>€</x:v>
      </x:c>
      <x:c r="E22" s="152" t="n">
        <x:f>E17+E21</x:f>
        <x:v>59400</x:v>
      </x:c>
      <x:c r="F22" s="152" t="n">
        <x:f>F17+F21</x:f>
        <x:v>509850</x:v>
      </x:c>
      <x:c r="G22" s="152" t="n">
        <x:f>G17+G21</x:f>
        <x:v>2625727.5</x:v>
      </x:c>
      <x:c r="H22" s="152" t="n">
        <x:f>H17+H21</x:f>
        <x:v>9465744.75</x:v>
      </x:c>
      <x:c r="I22" s="152" t="n">
        <x:f>I17+I21</x:f>
        <x:v>22285032</x:v>
      </x:c>
    </x:row>
    <x:row r="23">
      <x:c r="A23" s="1"/>
      <x:c r="B23" s="1"/>
      <x:c r="C23" s="86" t="str">
        <x:v>Comisión cliente retenida</x:v>
      </x:c>
      <x:c r="D23" s="86" t="str">
        <x:v>€</x:v>
      </x:c>
      <x:c r="E23" s="152" t="n">
        <x:f>E17*'Supuestos'!D55*'Supuestos'!D59</x:f>
        <x:v>5292</x:v>
      </x:c>
      <x:c r="F23" s="152" t="n">
        <x:f>F17*'Supuestos'!E55*'Supuestos'!E59</x:f>
        <x:v>45423</x:v>
      </x:c>
      <x:c r="G23" s="152" t="n">
        <x:f>G17*'Supuestos'!F55*'Supuestos'!F59</x:f>
        <x:v>233928.44999999998</x:v>
      </x:c>
      <x:c r="H23" s="152" t="n">
        <x:f>H17*'Supuestos'!G55*'Supuestos'!G59</x:f>
        <x:v>843311.8049999999</x:v>
      </x:c>
      <x:c r="I23" s="152" t="n">
        <x:f>I17*'Supuestos'!H55*'Supuestos'!H59</x:f>
        <x:v>1985393.76</x:v>
      </x:c>
    </x:row>
    <x:row r="24">
      <x:c r="A24" s="1"/>
      <x:c r="B24" s="1"/>
      <x:c r="C24" s="86" t="str">
        <x:v>Comisión proveedor</x:v>
      </x:c>
      <x:c r="D24" s="86" t="str">
        <x:v>€</x:v>
      </x:c>
      <x:c r="E24" s="152" t="n">
        <x:f>E17*'Supuestos'!D60*'Supuestos'!D56*(1-'Supuestos'!D61)</x:f>
        <x:v>3928.5</x:v>
      </x:c>
      <x:c r="F24" s="152" t="n">
        <x:f>F17*'Supuestos'!E60*'Supuestos'!E56*(1-'Supuestos'!E61)</x:f>
        <x:v>44959.5</x:v>
      </x:c>
      <x:c r="G24" s="152" t="n">
        <x:f>G17*'Supuestos'!F60*'Supuestos'!F56*(1-'Supuestos'!F61)</x:f>
        <x:v>231541.42500000002</x:v>
      </x:c>
      <x:c r="H24" s="152" t="n">
        <x:f>H17*'Supuestos'!G60*'Supuestos'!G56*(1-'Supuestos'!G61)</x:f>
        <x:v>834706.5825</x:v>
      </x:c>
      <x:c r="I24" s="152" t="n">
        <x:f>I17*'Supuestos'!H60*'Supuestos'!H56*(1-'Supuestos'!H61)</x:f>
        <x:v>1965134.64</x:v>
      </x:c>
    </x:row>
    <x:row r="25">
      <x:c r="A25" s="1"/>
      <x:c r="B25" s="1"/>
      <x:c r="C25" s="86" t="str">
        <x:v>Pagos netos a proveedores</x:v>
      </x:c>
      <x:c r="D25" s="86" t="str">
        <x:v>€</x:v>
      </x:c>
      <x:c r="E25" s="152" t="n">
        <x:f>E17*'Supuestos'!D60-E24</x:f>
        <x:v>48451.5</x:v>
      </x:c>
      <x:c r="F25" s="152" t="n">
        <x:f>F17*'Supuestos'!E60-F24</x:f>
        <x:v>404635.5</x:v>
      </x:c>
      <x:c r="G25" s="152" t="n">
        <x:f>G17*'Supuestos'!F60-G24</x:f>
        <x:v>2083872.825</x:v>
      </x:c>
      <x:c r="H25" s="152" t="n">
        <x:f>H17*'Supuestos'!G60-H24</x:f>
        <x:v>7512359.2425</x:v>
      </x:c>
      <x:c r="I25" s="152" t="n">
        <x:f>I17*'Supuestos'!H60-I24</x:f>
        <x:v>17686211.759999998</x:v>
      </x:c>
    </x:row>
    <x:row r="26">
      <x:c r="A26" s="1"/>
      <x:c r="B26" s="1"/>
      <x:c r="C26" s="99" t="str">
        <x:v>Comisiones brutas Diime</x:v>
      </x:c>
      <x:c r="D26" s="99" t="str">
        <x:v>€</x:v>
      </x:c>
      <x:c r="E26" s="161" t="n">
        <x:f>E23+E24</x:f>
        <x:v>9220.5</x:v>
      </x:c>
      <x:c r="F26" s="161" t="n">
        <x:f>F23+F24</x:f>
        <x:v>90382.5</x:v>
      </x:c>
      <x:c r="G26" s="161" t="n">
        <x:f>G23+G24</x:f>
        <x:v>465469.875</x:v>
      </x:c>
      <x:c r="H26" s="161" t="n">
        <x:f>H23+H24</x:f>
        <x:v>1678018.3875</x:v>
      </x:c>
      <x:c r="I26" s="161" t="n">
        <x:f>I23+I24</x:f>
        <x:v>3950528.4</x:v>
      </x:c>
    </x:row>
    <x:row r="27">
      <x:c r="A27" s="1"/>
      <x:c r="B27" s="1"/>
      <x:c r="C27" s="101" t="str">
        <x:v>IVA incluido en comisiones</x:v>
      </x:c>
      <x:c r="D27" s="101" t="str">
        <x:v>€</x:v>
      </x:c>
      <x:c r="E27" s="165" t="n">
        <x:f>IF('Supuestos'!$J$6="Sí",E26-E26/(1+'Supuestos'!D62),0)</x:f>
        <x:v>1600.2520661157023</x:v>
      </x:c>
      <x:c r="F27" s="165" t="n">
        <x:f>IF('Supuestos'!$J$6="Sí",F26-F26/(1+'Supuestos'!E62),0)</x:f>
        <x:v>15686.219008264467</x:v>
      </x:c>
      <x:c r="G27" s="165" t="n">
        <x:f>IF('Supuestos'!$J$6="Sí",G26-G26/(1+'Supuestos'!F62),0)</x:f>
        <x:v>80784.02789256198</x:v>
      </x:c>
      <x:c r="H27" s="165" t="n">
        <x:f>IF('Supuestos'!$J$6="Sí",H26-H26/(1+'Supuestos'!G62),0)</x:f>
        <x:v>291226.331714876</x:v>
      </x:c>
      <x:c r="I27" s="165" t="n">
        <x:f>IF('Supuestos'!$J$6="Sí",I26-I26/(1+'Supuestos'!H62),0)</x:f>
        <x:v>685628.8958677687</x:v>
      </x:c>
    </x:row>
    <x:row r="28">
      <x:c r="A28" s="1"/>
      <x:c r="B28" s="1"/>
      <x:c r="C28" s="101" t="str">
        <x:v>Ingresos netos de IVA</x:v>
      </x:c>
      <x:c r="D28" s="101" t="str">
        <x:v>€</x:v>
      </x:c>
      <x:c r="E28" s="165" t="n">
        <x:f>E26-E27</x:f>
        <x:v>7620.247933884298</x:v>
      </x:c>
      <x:c r="F28" s="165" t="n">
        <x:f>F26-F27</x:f>
        <x:v>74696.28099173553</x:v>
      </x:c>
      <x:c r="G28" s="165" t="n">
        <x:f>G26-G27</x:f>
        <x:v>384685.847107438</x:v>
      </x:c>
      <x:c r="H28" s="165" t="n">
        <x:f>H26-H27</x:f>
        <x:v>1386792.055785124</x:v>
      </x:c>
      <x:c r="I28" s="165" t="n">
        <x:f>I26-I27</x:f>
        <x:v>3264899.504132231</x:v>
      </x:c>
    </x:row>
    <x:row r="29">
      <x:c r="A29" s="1"/>
      <x:c r="B29" s="1"/>
      <x:c r="C29" s="86" t="str">
        <x:v>Ingresos netos con comisión proveedor histórica del 5%</x:v>
      </x:c>
      <x:c r="D29" s="86" t="str">
        <x:v>€</x:v>
      </x:c>
      <x:c r="E29" s="152" t="n">
        <x:f>(E23+E17*'Supuestos'!D60*'Supuestos'!D57*(1-'Supuestos'!D61))/IF('Supuestos'!$J$6="Sí",1+'Supuestos'!D62,1)</x:f>
        <x:v>5996.900826446281</x:v>
      </x:c>
      <x:c r="F29" s="152" t="n">
        <x:f>(F23+F17*'Supuestos'!E60*'Supuestos'!E57*(1-'Supuestos'!E61))/IF('Supuestos'!$J$6="Sí",1+'Supuestos'!E62,1)</x:f>
        <x:v>56117.97520661157</x:v>
      </x:c>
      <x:c r="G29" s="152" t="n">
        <x:f>(G23+G17*'Supuestos'!F60*'Supuestos'!F57*(1-'Supuestos'!F61))/IF('Supuestos'!$J$6="Sí",1+'Supuestos'!F62,1)</x:f>
        <x:v>289007.5723140496</x:v>
      </x:c>
      <x:c r="H29" s="152" t="n">
        <x:f>(H23+H17*'Supuestos'!G60*'Supuestos'!G57*(1-'Supuestos'!G61))/IF('Supuestos'!$J$6="Sí",1+'Supuestos'!G62,1)</x:f>
        <x:v>1041871.9803719008</x:v>
      </x:c>
      <x:c r="I29" s="152" t="n">
        <x:f>(I23+I17*'Supuestos'!H60*'Supuestos'!H57*(1-'Supuestos'!H61))/IF('Supuestos'!$J$6="Sí",1+'Supuestos'!H62,1)</x:f>
        <x:v>2452860.396694215</x:v>
      </x:c>
    </x:row>
    <x:row r="30">
      <x:c r="A30" s="1"/>
      <x:c r="B30" s="1"/>
      <x:c r="C30" s="86" t="str">
        <x:v>Incremento neto por subir proveedor del 5% al 10%</x:v>
      </x:c>
      <x:c r="D30" s="86" t="str">
        <x:v>€</x:v>
      </x:c>
      <x:c r="E30" s="152" t="n">
        <x:f>E28-E29</x:f>
        <x:v>1623.3471074380168</x:v>
      </x:c>
      <x:c r="F30" s="152" t="n">
        <x:f>F28-F29</x:f>
        <x:v>18578.305785123965</x:v>
      </x:c>
      <x:c r="G30" s="152" t="n">
        <x:f>G28-G29</x:f>
        <x:v>95678.27479338844</x:v>
      </x:c>
      <x:c r="H30" s="152" t="n">
        <x:f>H28-H29</x:f>
        <x:v>344920.0754132231</x:v>
      </x:c>
      <x:c r="I30" s="152" t="n">
        <x:f>I28-I29</x:f>
        <x:v>812039.1074380162</x:v>
      </x:c>
    </x:row>
    <x:row r="31">
      <x:c r="A31" s="1"/>
      <x:c r="B31" s="1"/>
      <x:c r="C31" s="86" t="str">
        <x:v>Reembolsos al cliente / cobro no retenido</x:v>
      </x:c>
      <x:c r="D31" s="86" t="str">
        <x:v>€</x:v>
      </x:c>
      <x:c r="E31" s="152" t="n">
        <x:f>E22-E25-E26</x:f>
        <x:v>1728</x:v>
      </x:c>
      <x:c r="F31" s="152" t="n">
        <x:f>F22-F25-F26</x:f>
        <x:v>14832</x:v>
      </x:c>
      <x:c r="G31" s="152" t="n">
        <x:f>G22-G25-G26</x:f>
        <x:v>76384.80000000005</x:v>
      </x:c>
      <x:c r="H31" s="152" t="n">
        <x:f>H22-H25-H26</x:f>
        <x:v>275367.12000000034</x:v>
      </x:c>
      <x:c r="I31" s="152" t="n">
        <x:f>I22-I25-I26</x:f>
        <x:v>648291.8400000022</x:v>
      </x:c>
    </x:row>
    <x:row r="32">
      <x:c r="A32" s="1"/>
      <x:c r="B32" s="1"/>
      <x:c r="C32" s="92" t="str">
        <x:v>Operativa de liquidaciones</x:v>
      </x:c>
      <x:c r="D32" s="93"/>
      <x:c r="E32" s="163"/>
      <x:c r="F32" s="163"/>
      <x:c r="G32" s="163"/>
      <x:c r="H32" s="163"/>
      <x:c r="I32" s="164"/>
    </x:row>
    <x:row r="33">
      <x:c r="A33" s="1"/>
      <x:c r="B33" s="1"/>
      <x:c r="C33" s="86"/>
      <x:c r="D33" s="86"/>
      <x:c r="E33" s="162"/>
      <x:c r="F33" s="162"/>
      <x:c r="G33" s="162"/>
      <x:c r="H33" s="162"/>
      <x:c r="I33" s="162"/>
    </x:row>
    <x:row r="34">
      <x:c r="A34" s="1"/>
      <x:c r="B34" s="1"/>
      <x:c r="C34" s="86" t="str">
        <x:v>Trabajos con importe adjudicado al proveedor</x:v>
      </x:c>
      <x:c r="D34" s="86" t="str">
        <x:v>nº</x:v>
      </x:c>
      <x:c r="E34" s="151" t="n">
        <x:f>ROUND(E13*'Supuestos'!D60,0)</x:f>
        <x:v>35</x:v>
      </x:c>
      <x:c r="F34" s="151" t="n">
        <x:f>ROUND(F13*'Supuestos'!E60,0)</x:f>
        <x:v>291</x:v>
      </x:c>
      <x:c r="G34" s="151" t="n">
        <x:f>ROUND(G13*'Supuestos'!F60,0)</x:f>
        <x:v>1455</x:v>
      </x:c>
      <x:c r="H34" s="151" t="n">
        <x:f>ROUND(H13*'Supuestos'!G60,0)</x:f>
        <x:v>5093</x:v>
      </x:c>
      <x:c r="I34" s="151" t="n">
        <x:f>ROUND(I13*'Supuestos'!H60,0)</x:f>
        <x:v>11640</x:v>
      </x:c>
    </x:row>
    <x:row r="35">
      <x:c r="A35" s="1"/>
      <x:c r="B35" s="1"/>
      <x:c r="C35" s="86" t="str">
        <x:v>Meses-cuenta activos estimados</x:v>
      </x:c>
      <x:c r="D35" s="86" t="str">
        <x:v>nº</x:v>
      </x:c>
      <x:c r="E35" s="151" t="n">
        <x:f>MIN(E34,E15*12)</x:f>
        <x:v>35</x:v>
      </x:c>
      <x:c r="F35" s="151" t="n">
        <x:f>MIN(F34,F15*12)</x:f>
        <x:v>291</x:v>
      </x:c>
      <x:c r="G35" s="151" t="n">
        <x:f>MIN(G34,G15*12)</x:f>
        <x:v>1455</x:v>
      </x:c>
      <x:c r="H35" s="151" t="n">
        <x:f>MIN(H34,H15*12)</x:f>
        <x:v>5093</x:v>
      </x:c>
      <x:c r="I35" s="151" t="n">
        <x:f>MIN(I34,I15*12)</x:f>
        <x:v>11640</x:v>
      </x:c>
    </x:row>
    <x:row r="36">
      <x:c r="A36" s="1"/>
      <x:c r="B36" s="1"/>
      <x:c r="C36" s="86" t="str">
        <x:v>Payouts bancarios estimados</x:v>
      </x:c>
      <x:c r="D36" s="86" t="str">
        <x:v>nº</x:v>
      </x:c>
      <x:c r="E36" s="151" t="n">
        <x:f>MIN(E34,ROUND(E35*'Supuestos'!D72,0))</x:f>
        <x:v>35</x:v>
      </x:c>
      <x:c r="F36" s="151" t="n">
        <x:f>MIN(F34,ROUND(F35*'Supuestos'!E72,0))</x:f>
        <x:v>291</x:v>
      </x:c>
      <x:c r="G36" s="151" t="n">
        <x:f>MIN(G34,ROUND(G35*'Supuestos'!F72,0))</x:f>
        <x:v>1455</x:v>
      </x:c>
      <x:c r="H36" s="151" t="n">
        <x:f>MIN(H34,ROUND(H35*'Supuestos'!G72,0))</x:f>
        <x:v>5093</x:v>
      </x:c>
      <x:c r="I36" s="151" t="n">
        <x:f>MIN(I34,ROUND(I35*'Supuestos'!H72,0))</x:f>
        <x:v>11640</x:v>
      </x:c>
    </x:row>
    <x:row r="37">
      <x:c r="A37" s="1"/>
      <x:c r="B37" s="1"/>
      <x:c r="C37" s="86"/>
      <x:c r="D37" s="86"/>
      <x:c r="E37" s="162"/>
      <x:c r="F37" s="162"/>
      <x:c r="G37" s="162"/>
      <x:c r="H37" s="162"/>
      <x:c r="I37" s="162"/>
    </x:row>
    <x:row r="38">
      <x:c r="A38" s="1"/>
      <x:c r="B38" s="1"/>
      <x:c r="C38" s="92" t="str">
        <x:v>Coste Stripe</x:v>
      </x:c>
      <x:c r="D38" s="93"/>
      <x:c r="E38" s="163"/>
      <x:c r="F38" s="163"/>
      <x:c r="G38" s="163"/>
      <x:c r="H38" s="163"/>
      <x:c r="I38" s="164"/>
    </x:row>
    <x:row r="39">
      <x:c r="A39" s="1"/>
      <x:c r="B39" s="1"/>
      <x:c r="C39" s="86"/>
      <x:c r="D39" s="86"/>
      <x:c r="E39" s="162"/>
      <x:c r="F39" s="162"/>
      <x:c r="G39" s="162"/>
      <x:c r="H39" s="162"/>
      <x:c r="I39" s="162"/>
    </x:row>
    <x:row r="40">
      <x:c r="A40" s="1"/>
      <x:c r="B40" s="1"/>
      <x:c r="C40" s="86" t="str">
        <x:v>Cobro — porcentaje</x:v>
      </x:c>
      <x:c r="D40" s="86" t="str">
        <x:v>€</x:v>
      </x:c>
      <x:c r="E40" s="152" t="n">
        <x:f>E22*'Supuestos'!D67</x:f>
        <x:v>891</x:v>
      </x:c>
      <x:c r="F40" s="152" t="n">
        <x:f>F22*'Supuestos'!E67</x:f>
        <x:v>7647.75</x:v>
      </x:c>
      <x:c r="G40" s="152" t="n">
        <x:f>G22*'Supuestos'!F67</x:f>
        <x:v>39385.9125</x:v>
      </x:c>
      <x:c r="H40" s="152" t="n">
        <x:f>H22*'Supuestos'!G67</x:f>
        <x:v>141986.17124999998</x:v>
      </x:c>
      <x:c r="I40" s="152" t="n">
        <x:f>I22*'Supuestos'!H67</x:f>
        <x:v>334275.48</x:v>
      </x:c>
    </x:row>
    <x:row r="41">
      <x:c r="A41" s="1"/>
      <x:c r="B41" s="1"/>
      <x:c r="C41" s="86" t="str">
        <x:v>Cobro — fijo</x:v>
      </x:c>
      <x:c r="D41" s="86" t="str">
        <x:v>€</x:v>
      </x:c>
      <x:c r="E41" s="152" t="n">
        <x:f>E13*'Supuestos'!D68</x:f>
        <x:v>9</x:v>
      </x:c>
      <x:c r="F41" s="152" t="n">
        <x:f>F13*'Supuestos'!E68</x:f>
        <x:v>75</x:v>
      </x:c>
      <x:c r="G41" s="152" t="n">
        <x:f>G13*'Supuestos'!F68</x:f>
        <x:v>375</x:v>
      </x:c>
      <x:c r="H41" s="152" t="n">
        <x:f>H13*'Supuestos'!G68</x:f>
        <x:v>1312.5</x:v>
      </x:c>
      <x:c r="I41" s="152" t="n">
        <x:f>I13*'Supuestos'!H68</x:f>
        <x:v>3000</x:v>
      </x:c>
    </x:row>
    <x:row r="42">
      <x:c r="A42" s="1"/>
      <x:c r="B42" s="1"/>
      <x:c r="C42" s="86" t="str">
        <x:v>Payout — porcentaje</x:v>
      </x:c>
      <x:c r="D42" s="86" t="str">
        <x:v>€</x:v>
      </x:c>
      <x:c r="E42" s="152" t="n">
        <x:f>E25*'Supuestos'!D69</x:f>
        <x:v>121.12875</x:v>
      </x:c>
      <x:c r="F42" s="152" t="n">
        <x:f>F25*'Supuestos'!E69</x:f>
        <x:v>1011.58875</x:v>
      </x:c>
      <x:c r="G42" s="152" t="n">
        <x:f>G25*'Supuestos'!F69</x:f>
        <x:v>5209.6820625</x:v>
      </x:c>
      <x:c r="H42" s="152" t="n">
        <x:f>H25*'Supuestos'!G69</x:f>
        <x:v>18780.89810625</x:v>
      </x:c>
      <x:c r="I42" s="152" t="n">
        <x:f>I25*'Supuestos'!H69</x:f>
        <x:v>44215.52939999999</x:v>
      </x:c>
    </x:row>
    <x:row r="43">
      <x:c r="A43" s="1"/>
      <x:c r="B43" s="1"/>
      <x:c r="C43" s="86" t="str">
        <x:v>Payout — fijo</x:v>
      </x:c>
      <x:c r="D43" s="86" t="str">
        <x:v>€</x:v>
      </x:c>
      <x:c r="E43" s="152" t="n">
        <x:f>E36*'Supuestos'!D70</x:f>
        <x:v>3.5</x:v>
      </x:c>
      <x:c r="F43" s="152" t="n">
        <x:f>F36*'Supuestos'!E70</x:f>
        <x:v>29.1</x:v>
      </x:c>
      <x:c r="G43" s="152" t="n">
        <x:f>G36*'Supuestos'!F70</x:f>
        <x:v>145.5</x:v>
      </x:c>
      <x:c r="H43" s="152" t="n">
        <x:f>H36*'Supuestos'!G70</x:f>
        <x:v>509.3</x:v>
      </x:c>
      <x:c r="I43" s="152" t="n">
        <x:f>I36*'Supuestos'!H70</x:f>
        <x:v>1164</x:v>
      </x:c>
    </x:row>
    <x:row r="44">
      <x:c r="A44" s="1"/>
      <x:c r="B44" s="1"/>
      <x:c r="C44" s="86" t="str">
        <x:v>Cuentas activas</x:v>
      </x:c>
      <x:c r="D44" s="86" t="str">
        <x:v>€</x:v>
      </x:c>
      <x:c r="E44" s="152" t="n">
        <x:f>E35*'Supuestos'!D71</x:f>
        <x:v>70</x:v>
      </x:c>
      <x:c r="F44" s="152" t="n">
        <x:f>F35*'Supuestos'!E71</x:f>
        <x:v>582</x:v>
      </x:c>
      <x:c r="G44" s="152" t="n">
        <x:f>G35*'Supuestos'!F71</x:f>
        <x:v>2910</x:v>
      </x:c>
      <x:c r="H44" s="152" t="n">
        <x:f>H35*'Supuestos'!G71</x:f>
        <x:v>10186</x:v>
      </x:c>
      <x:c r="I44" s="152" t="n">
        <x:f>I35*'Supuestos'!H71</x:f>
        <x:v>23280</x:v>
      </x:c>
    </x:row>
    <x:row r="45">
      <x:c r="A45" s="1"/>
      <x:c r="B45" s="1"/>
      <x:c r="C45" s="99" t="str">
        <x:v>Total Stripe</x:v>
      </x:c>
      <x:c r="D45" s="99" t="str">
        <x:v>€</x:v>
      </x:c>
      <x:c r="E45" s="161" t="n">
        <x:f>SUM(E40:E44)</x:f>
        <x:v>1094.6287499999999</x:v>
      </x:c>
      <x:c r="F45" s="161" t="n">
        <x:f>SUM(F40:F44)</x:f>
        <x:v>9345.438750000001</x:v>
      </x:c>
      <x:c r="G45" s="161" t="n">
        <x:f>SUM(G40:G44)</x:f>
        <x:v>48026.0945625</x:v>
      </x:c>
      <x:c r="H45" s="161" t="n">
        <x:f>SUM(H40:H44)</x:f>
        <x:v>172774.86935624998</x:v>
      </x:c>
      <x:c r="I45" s="161" t="n">
        <x:f>SUM(I40:I44)</x:f>
        <x:v>405935.0094</x:v>
      </x:c>
    </x:row>
    <x:row r="46">
      <x:c r="A46" s="1"/>
      <x:c r="B46" s="1"/>
      <x:c r="C46" s="86"/>
      <x:c r="D46" s="86"/>
      <x:c r="E46" s="162"/>
      <x:c r="F46" s="162"/>
      <x:c r="G46" s="162"/>
      <x:c r="H46" s="162"/>
      <x:c r="I46" s="162"/>
    </x:row>
    <x:row r="47">
      <x:c r="A47" s="1"/>
      <x:c r="B47" s="1"/>
      <x:c r="C47" s="92" t="str">
        <x:v>Coste Mollie Connect</x:v>
      </x:c>
      <x:c r="D47" s="93"/>
      <x:c r="E47" s="163"/>
      <x:c r="F47" s="163"/>
      <x:c r="G47" s="163"/>
      <x:c r="H47" s="163"/>
      <x:c r="I47" s="164"/>
    </x:row>
    <x:row r="48">
      <x:c r="A48" s="1"/>
      <x:c r="B48" s="1"/>
      <x:c r="C48" s="86"/>
      <x:c r="D48" s="86"/>
      <x:c r="E48" s="162"/>
      <x:c r="F48" s="162"/>
      <x:c r="G48" s="162"/>
      <x:c r="H48" s="162"/>
      <x:c r="I48" s="162"/>
    </x:row>
    <x:row r="49">
      <x:c r="A49" s="1"/>
      <x:c r="B49" s="1"/>
      <x:c r="C49" s="86" t="str">
        <x:v>Tasa de tarjeta combinada</x:v>
      </x:c>
      <x:c r="D49" s="86" t="str">
        <x:v>%</x:v>
      </x:c>
      <x:c r="E49" s="153" t="n">
        <x:f>'Supuestos'!D76*'Supuestos'!D77+(1-'Supuestos'!D76)*'Supuestos'!D78</x:f>
        <x:v>0.0132</x:v>
      </x:c>
      <x:c r="F49" s="153" t="n">
        <x:f>'Supuestos'!E76*'Supuestos'!E77+(1-'Supuestos'!E76)*'Supuestos'!E78</x:f>
        <x:v>0.0132</x:v>
      </x:c>
      <x:c r="G49" s="153" t="n">
        <x:f>'Supuestos'!F76*'Supuestos'!F77+(1-'Supuestos'!F76)*'Supuestos'!F78</x:f>
        <x:v>0.0132</x:v>
      </x:c>
      <x:c r="H49" s="153" t="n">
        <x:f>'Supuestos'!G76*'Supuestos'!G77+(1-'Supuestos'!G76)*'Supuestos'!G78</x:f>
        <x:v>0.0132</x:v>
      </x:c>
      <x:c r="I49" s="153" t="n">
        <x:f>'Supuestos'!H76*'Supuestos'!H77+(1-'Supuestos'!H76)*'Supuestos'!H78</x:f>
        <x:v>0.0132</x:v>
      </x:c>
    </x:row>
    <x:row r="50">
      <x:c r="A50" s="1"/>
      <x:c r="B50" s="1"/>
      <x:c r="C50" s="86" t="str">
        <x:v>Cobro — porcentaje</x:v>
      </x:c>
      <x:c r="D50" s="86" t="str">
        <x:v>€</x:v>
      </x:c>
      <x:c r="E50" s="152" t="n">
        <x:f>E22*E49</x:f>
        <x:v>784.08</x:v>
      </x:c>
      <x:c r="F50" s="152" t="n">
        <x:f>F22*F49</x:f>
        <x:v>6730.0199999999995</x:v>
      </x:c>
      <x:c r="G50" s="152" t="n">
        <x:f>G22*G49</x:f>
        <x:v>34659.603</x:v>
      </x:c>
      <x:c r="H50" s="152" t="n">
        <x:f>H22*H49</x:f>
        <x:v>124947.8307</x:v>
      </x:c>
      <x:c r="I50" s="152" t="n">
        <x:f>I22*I49</x:f>
        <x:v>294162.4224</x:v>
      </x:c>
    </x:row>
    <x:row r="51">
      <x:c r="A51" s="1"/>
      <x:c r="B51" s="1"/>
      <x:c r="C51" s="86" t="str">
        <x:v>Cobro — fijo</x:v>
      </x:c>
      <x:c r="D51" s="86" t="str">
        <x:v>€</x:v>
      </x:c>
      <x:c r="E51" s="152" t="n">
        <x:f>E13*'Supuestos'!D79</x:f>
        <x:v>9</x:v>
      </x:c>
      <x:c r="F51" s="152" t="n">
        <x:f>F13*'Supuestos'!E79</x:f>
        <x:v>75</x:v>
      </x:c>
      <x:c r="G51" s="152" t="n">
        <x:f>G13*'Supuestos'!F79</x:f>
        <x:v>375</x:v>
      </x:c>
      <x:c r="H51" s="152" t="n">
        <x:f>H13*'Supuestos'!G79</x:f>
        <x:v>1312.5</x:v>
      </x:c>
      <x:c r="I51" s="152" t="n">
        <x:f>I13*'Supuestos'!H79</x:f>
        <x:v>3000</x:v>
      </x:c>
    </x:row>
    <x:row r="52">
      <x:c r="A52" s="1"/>
      <x:c r="B52" s="1"/>
      <x:c r="C52" s="86" t="str">
        <x:v>Routing</x:v>
      </x:c>
      <x:c r="D52" s="86" t="str">
        <x:v>€</x:v>
      </x:c>
      <x:c r="E52" s="152" t="n">
        <x:f>E25*'Supuestos'!D80</x:f>
        <x:v>96.903</x:v>
      </x:c>
      <x:c r="F52" s="152" t="n">
        <x:f>F25*'Supuestos'!E80</x:f>
        <x:v>809.2710000000001</x:v>
      </x:c>
      <x:c r="G52" s="152" t="n">
        <x:f>G25*'Supuestos'!F80</x:f>
        <x:v>4167.74565</x:v>
      </x:c>
      <x:c r="H52" s="152" t="n">
        <x:f>H25*'Supuestos'!G80</x:f>
        <x:v>15024.718485</x:v>
      </x:c>
      <x:c r="I52" s="152" t="n">
        <x:f>I25*'Supuestos'!H80</x:f>
        <x:v>35372.42352</x:v>
      </x:c>
    </x:row>
    <x:row r="53">
      <x:c r="A53" s="1"/>
      <x:c r="B53" s="1"/>
      <x:c r="C53" s="86" t="str">
        <x:v>Cuentas activas</x:v>
      </x:c>
      <x:c r="D53" s="86" t="str">
        <x:v>€</x:v>
      </x:c>
      <x:c r="E53" s="152" t="n">
        <x:f>E35*'Supuestos'!D81</x:f>
        <x:v>61.25</x:v>
      </x:c>
      <x:c r="F53" s="152" t="n">
        <x:f>F35*'Supuestos'!E81</x:f>
        <x:v>509.25</x:v>
      </x:c>
      <x:c r="G53" s="152" t="n">
        <x:f>G35*'Supuestos'!F81</x:f>
        <x:v>2546.25</x:v>
      </x:c>
      <x:c r="H53" s="152" t="n">
        <x:f>H35*'Supuestos'!G81</x:f>
        <x:v>8912.75</x:v>
      </x:c>
      <x:c r="I53" s="152" t="n">
        <x:f>I35*'Supuestos'!H81</x:f>
        <x:v>20370</x:v>
      </x:c>
    </x:row>
    <x:row r="54">
      <x:c r="A54" s="1"/>
      <x:c r="B54" s="1"/>
      <x:c r="C54" s="99" t="str">
        <x:v>Total Mollie</x:v>
      </x:c>
      <x:c r="D54" s="99" t="str">
        <x:v>€</x:v>
      </x:c>
      <x:c r="E54" s="161" t="n">
        <x:f>SUM(E50:E53)</x:f>
        <x:v>951.2330000000001</x:v>
      </x:c>
      <x:c r="F54" s="161" t="n">
        <x:f>SUM(F50:F53)</x:f>
        <x:v>8123.540999999999</x:v>
      </x:c>
      <x:c r="G54" s="161" t="n">
        <x:f>SUM(G50:G53)</x:f>
        <x:v>41748.59865</x:v>
      </x:c>
      <x:c r="H54" s="161" t="n">
        <x:f>SUM(H50:H53)</x:f>
        <x:v>150197.799185</x:v>
      </x:c>
      <x:c r="I54" s="161" t="n">
        <x:f>SUM(I50:I53)</x:f>
        <x:v>352904.84592</x:v>
      </x:c>
    </x:row>
    <x:row r="55">
      <x:c r="A55" s="1"/>
      <x:c r="B55" s="1"/>
      <x:c r="C55" s="86"/>
      <x:c r="D55" s="86"/>
      <x:c r="E55" s="162"/>
      <x:c r="F55" s="162"/>
      <x:c r="G55" s="162"/>
      <x:c r="H55" s="162"/>
      <x:c r="I55" s="162"/>
    </x:row>
    <x:row r="56">
      <x:c r="A56" s="1"/>
      <x:c r="B56" s="1"/>
      <x:c r="C56" s="92" t="str">
        <x:v>Coste Lemonway</x:v>
      </x:c>
      <x:c r="D56" s="93"/>
      <x:c r="E56" s="163"/>
      <x:c r="F56" s="163"/>
      <x:c r="G56" s="163"/>
      <x:c r="H56" s="163"/>
      <x:c r="I56" s="164"/>
    </x:row>
    <x:row r="57">
      <x:c r="A57" s="1"/>
      <x:c r="B57" s="1"/>
      <x:c r="C57" s="86"/>
      <x:c r="D57" s="86"/>
      <x:c r="E57" s="162"/>
      <x:c r="F57" s="162"/>
      <x:c r="G57" s="162"/>
      <x:c r="H57" s="162"/>
      <x:c r="I57" s="162"/>
    </x:row>
    <x:row r="58">
      <x:c r="A58" s="1"/>
      <x:c r="B58" s="1"/>
      <x:c r="C58" s="86" t="str">
        <x:v>Cobro — porcentaje</x:v>
      </x:c>
      <x:c r="D58" s="86" t="str">
        <x:v>€</x:v>
      </x:c>
      <x:c r="E58" s="152" t="n">
        <x:f>E22*'Supuestos'!D85</x:f>
        <x:v>653.4</x:v>
      </x:c>
      <x:c r="F58" s="152" t="n">
        <x:f>F22*'Supuestos'!E85</x:f>
        <x:v>5608.349999999999</x:v>
      </x:c>
      <x:c r="G58" s="152" t="n">
        <x:f>G22*'Supuestos'!F85</x:f>
        <x:v>28883.0025</x:v>
      </x:c>
      <x:c r="H58" s="152" t="n">
        <x:f>H22*'Supuestos'!G85</x:f>
        <x:v>104123.19225</x:v>
      </x:c>
      <x:c r="I58" s="152" t="n">
        <x:f>I22*'Supuestos'!H85</x:f>
        <x:v>245135.35199999998</x:v>
      </x:c>
    </x:row>
    <x:row r="59">
      <x:c r="A59" s="1"/>
      <x:c r="B59" s="1"/>
      <x:c r="C59" s="86" t="str">
        <x:v>Cobro — fijo</x:v>
      </x:c>
      <x:c r="D59" s="86" t="str">
        <x:v>€</x:v>
      </x:c>
      <x:c r="E59" s="152" t="n">
        <x:f>E13*'Supuestos'!D86</x:f>
        <x:v>9</x:v>
      </x:c>
      <x:c r="F59" s="152" t="n">
        <x:f>F13*'Supuestos'!E86</x:f>
        <x:v>75</x:v>
      </x:c>
      <x:c r="G59" s="152" t="n">
        <x:f>G13*'Supuestos'!F86</x:f>
        <x:v>375</x:v>
      </x:c>
      <x:c r="H59" s="152" t="n">
        <x:f>H13*'Supuestos'!G86</x:f>
        <x:v>1312.5</x:v>
      </x:c>
      <x:c r="I59" s="152" t="n">
        <x:f>I13*'Supuestos'!H86</x:f>
        <x:v>3000</x:v>
      </x:c>
    </x:row>
    <x:row r="60">
      <x:c r="A60" s="1"/>
      <x:c r="B60" s="1"/>
      <x:c r="C60" s="86" t="str">
        <x:v>Payouts</x:v>
      </x:c>
      <x:c r="D60" s="86" t="str">
        <x:v>€</x:v>
      </x:c>
      <x:c r="E60" s="152" t="n">
        <x:f>E36*'Supuestos'!D87</x:f>
        <x:v>17.5</x:v>
      </x:c>
      <x:c r="F60" s="152" t="n">
        <x:f>F36*'Supuestos'!E87</x:f>
        <x:v>145.5</x:v>
      </x:c>
      <x:c r="G60" s="152" t="n">
        <x:f>G36*'Supuestos'!F87</x:f>
        <x:v>727.5</x:v>
      </x:c>
      <x:c r="H60" s="152" t="n">
        <x:f>H36*'Supuestos'!G87</x:f>
        <x:v>2546.5</x:v>
      </x:c>
      <x:c r="I60" s="152" t="n">
        <x:f>I36*'Supuestos'!H87</x:f>
        <x:v>5820</x:v>
      </x:c>
    </x:row>
    <x:row r="61">
      <x:c r="A61" s="1"/>
      <x:c r="B61" s="1"/>
      <x:c r="C61" s="86" t="str">
        <x:v>Identificación</x:v>
      </x:c>
      <x:c r="D61" s="86" t="str">
        <x:v>€</x:v>
      </x:c>
      <x:c r="E61" s="152" t="n">
        <x:f>E15*12*'Supuestos'!D88</x:f>
        <x:v>96</x:v>
      </x:c>
      <x:c r="F61" s="152" t="n">
        <x:f>F15*12*'Supuestos'!E88</x:f>
        <x:v>384</x:v>
      </x:c>
      <x:c r="G61" s="152" t="n">
        <x:f>G15*12*'Supuestos'!F88</x:f>
        <x:v>1440</x:v>
      </x:c>
      <x:c r="H61" s="152" t="n">
        <x:f>H15*12*'Supuestos'!G88</x:f>
        <x:v>4320</x:v>
      </x:c>
      <x:c r="I61" s="152" t="n">
        <x:f>I15*12*'Supuestos'!H88</x:f>
        <x:v>8640</x:v>
      </x:c>
    </x:row>
    <x:row r="62">
      <x:c r="A62" s="1"/>
      <x:c r="B62" s="1"/>
      <x:c r="C62" s="86" t="str">
        <x:v>Soporte</x:v>
      </x:c>
      <x:c r="D62" s="86" t="str">
        <x:v>€</x:v>
      </x:c>
      <x:c r="E62" s="152" t="n">
        <x:f>'Supuestos'!D89</x:f>
        <x:v>10080</x:v>
      </x:c>
      <x:c r="F62" s="152" t="n">
        <x:f>'Supuestos'!E89</x:f>
        <x:v>10080</x:v>
      </x:c>
      <x:c r="G62" s="152" t="n">
        <x:f>'Supuestos'!F89</x:f>
        <x:v>10080</x:v>
      </x:c>
      <x:c r="H62" s="152" t="n">
        <x:f>'Supuestos'!G89</x:f>
        <x:v>10080</x:v>
      </x:c>
      <x:c r="I62" s="152" t="n">
        <x:f>'Supuestos'!H89</x:f>
        <x:v>10080</x:v>
      </x:c>
    </x:row>
    <x:row r="63">
      <x:c r="A63" s="1"/>
      <x:c r="B63" s="1"/>
      <x:c r="C63" s="86" t="str">
        <x:v>Alta</x:v>
      </x:c>
      <x:c r="D63" s="86" t="str">
        <x:v>€</x:v>
      </x:c>
      <x:c r="E63" s="152" t="n">
        <x:f>'Supuestos'!D90</x:f>
        <x:v>5490</x:v>
      </x:c>
      <x:c r="F63" s="152" t="n">
        <x:f>'Supuestos'!E90</x:f>
        <x:v>0</x:v>
      </x:c>
      <x:c r="G63" s="152" t="n">
        <x:f>'Supuestos'!F90</x:f>
        <x:v>0</x:v>
      </x:c>
      <x:c r="H63" s="152" t="n">
        <x:f>'Supuestos'!G90</x:f>
        <x:v>0</x:v>
      </x:c>
      <x:c r="I63" s="152" t="n">
        <x:f>'Supuestos'!H90</x:f>
        <x:v>0</x:v>
      </x:c>
    </x:row>
    <x:row r="64">
      <x:c r="A64" s="1"/>
      <x:c r="B64" s="1"/>
      <x:c r="C64" s="99" t="str">
        <x:v>Total Lemonway</x:v>
      </x:c>
      <x:c r="D64" s="99" t="str">
        <x:v>€</x:v>
      </x:c>
      <x:c r="E64" s="161" t="n">
        <x:f>SUM(E58:E63)</x:f>
        <x:v>16345.9</x:v>
      </x:c>
      <x:c r="F64" s="161" t="n">
        <x:f>SUM(F58:F63)</x:f>
        <x:v>16292.849999999999</x:v>
      </x:c>
      <x:c r="G64" s="161" t="n">
        <x:f>SUM(G58:G63)</x:f>
        <x:v>41505.5025</x:v>
      </x:c>
      <x:c r="H64" s="161" t="n">
        <x:f>SUM(H58:H63)</x:f>
        <x:v>122382.19225</x:v>
      </x:c>
      <x:c r="I64" s="161" t="n">
        <x:f>SUM(I58:I63)</x:f>
        <x:v>272675.35199999996</x:v>
      </x:c>
    </x:row>
    <x:row r="65">
      <x:c r="A65" s="1"/>
      <x:c r="B65" s="1"/>
      <x:c r="C65" s="86"/>
      <x:c r="D65" s="86"/>
      <x:c r="E65" s="162"/>
      <x:c r="F65" s="162"/>
      <x:c r="G65" s="162"/>
      <x:c r="H65" s="162"/>
      <x:c r="I65" s="162"/>
    </x:row>
    <x:row r="66">
      <x:c r="A66" s="1"/>
      <x:c r="B66" s="1"/>
      <x:c r="C66" s="92" t="str">
        <x:v>P&amp;L operativo</x:v>
      </x:c>
      <x:c r="D66" s="93"/>
      <x:c r="E66" s="163"/>
      <x:c r="F66" s="163"/>
      <x:c r="G66" s="163"/>
      <x:c r="H66" s="163"/>
      <x:c r="I66" s="164"/>
    </x:row>
    <x:row r="67">
      <x:c r="A67" s="1"/>
      <x:c r="B67" s="1"/>
      <x:c r="C67" s="86"/>
      <x:c r="D67" s="86"/>
      <x:c r="E67" s="162"/>
      <x:c r="F67" s="162"/>
      <x:c r="G67" s="162"/>
      <x:c r="H67" s="162"/>
      <x:c r="I67" s="162"/>
    </x:row>
    <x:row r="68">
      <x:c r="A68" s="1"/>
      <x:c r="B68" s="1"/>
      <x:c r="C68" s="86" t="str">
        <x:v>Proveedor de pagos seleccionado</x:v>
      </x:c>
      <x:c r="D68" s="86" t="str">
        <x:v>€</x:v>
      </x:c>
      <x:c r="E68" s="152" t="n">
        <x:f>IF('Supuestos'!$G$6="Mollie",E54,IF('Supuestos'!$G$6="Lemonway",E64,E45))</x:f>
        <x:v>1094.6287499999999</x:v>
      </x:c>
      <x:c r="F68" s="152" t="n">
        <x:f>IF('Supuestos'!$G$6="Mollie",F54,IF('Supuestos'!$G$6="Lemonway",F64,F45))</x:f>
        <x:v>9345.438750000001</x:v>
      </x:c>
      <x:c r="G68" s="152" t="n">
        <x:f>IF('Supuestos'!$G$6="Mollie",G54,IF('Supuestos'!$G$6="Lemonway",G64,G45))</x:f>
        <x:v>48026.0945625</x:v>
      </x:c>
      <x:c r="H68" s="152" t="n">
        <x:f>IF('Supuestos'!$G$6="Mollie",H54,IF('Supuestos'!$G$6="Lemonway",H64,H45))</x:f>
        <x:v>172774.86935624998</x:v>
      </x:c>
      <x:c r="I68" s="152" t="n">
        <x:f>IF('Supuestos'!$G$6="Mollie",I54,IF('Supuestos'!$G$6="Lemonway",I64,I45))</x:f>
        <x:v>405935.0094</x:v>
      </x:c>
    </x:row>
    <x:row r="69">
      <x:c r="A69" s="1"/>
      <x:c r="B69" s="1"/>
      <x:c r="C69" s="86" t="str">
        <x:v>Coste de pagos / GMV</x:v>
      </x:c>
      <x:c r="D69" s="86" t="str">
        <x:v>%</x:v>
      </x:c>
      <x:c r="E69" s="153" t="n">
        <x:f>IF(E17=0,"",E68/E17)</x:f>
        <x:v>0.020270902777777777</x:v>
      </x:c>
      <x:c r="F69" s="153" t="n">
        <x:f>IF(F17=0,"",F68/F17)</x:f>
        <x:v>0.020162758899676378</x:v>
      </x:c>
      <x:c r="G69" s="153" t="n">
        <x:f>IF(G17=0,"",G68/G17)</x:f>
        <x:v>0.0201196445627926</x:v>
      </x:c>
      <x:c r="H69" s="153" t="n">
        <x:f>IF(H17=0,"",H68/H17)</x:f>
        <x:v>0.020077908427847155</x:v>
      </x:c>
      <x:c r="I69" s="153" t="n">
        <x:f>IF(I17=0,"",I68/I17)</x:f>
        <x:v>0.02003714916541291</x:v>
      </x:c>
    </x:row>
    <x:row r="70">
      <x:c r="A70" s="1"/>
      <x:c r="B70" s="1"/>
      <x:c r="C70" s="86" t="str">
        <x:v>Ingresos después de pagos</x:v>
      </x:c>
      <x:c r="D70" s="86" t="str">
        <x:v>€</x:v>
      </x:c>
      <x:c r="E70" s="154" t="n">
        <x:f>E28-E68</x:f>
        <x:v>6525.619183884298</x:v>
      </x:c>
      <x:c r="F70" s="154" t="n">
        <x:f>F28-F68</x:f>
        <x:v>65350.84224173553</x:v>
      </x:c>
      <x:c r="G70" s="154" t="n">
        <x:f>G28-G68</x:f>
        <x:v>336659.752544938</x:v>
      </x:c>
      <x:c r="H70" s="154" t="n">
        <x:f>H28-H68</x:f>
        <x:v>1214017.186428874</x:v>
      </x:c>
      <x:c r="I70" s="154" t="n">
        <x:f>I28-I68</x:f>
        <x:v>2858964.4947322314</x:v>
      </x:c>
    </x:row>
    <x:row r="71">
      <x:c r="A71" s="1"/>
      <x:c r="B71" s="1"/>
      <x:c r="C71" s="86" t="str">
        <x:v>Provisión por contracargos, fraude e incidencias</x:v>
      </x:c>
      <x:c r="D71" s="86" t="str">
        <x:v>€</x:v>
      </x:c>
      <x:c r="E71" s="154" t="n">
        <x:f>E17*'Supuestos'!D63</x:f>
        <x:v>270</x:v>
      </x:c>
      <x:c r="F71" s="154" t="n">
        <x:f>F17*'Supuestos'!E63</x:f>
        <x:v>2317.5</x:v>
      </x:c>
      <x:c r="G71" s="154" t="n">
        <x:f>G17*'Supuestos'!F63</x:f>
        <x:v>11935.125</x:v>
      </x:c>
      <x:c r="H71" s="154" t="n">
        <x:f>H17*'Supuestos'!G63</x:f>
        <x:v>43026.1125</x:v>
      </x:c>
      <x:c r="I71" s="154" t="n">
        <x:f>I17*'Supuestos'!H63</x:f>
        <x:v>101295.6</x:v>
      </x:c>
    </x:row>
    <x:row r="72">
      <x:c r="A72" s="1"/>
      <x:c r="B72" s="1"/>
      <x:c r="C72" s="99" t="str">
        <x:v>Margen de contribución</x:v>
      </x:c>
      <x:c r="D72" s="99" t="str">
        <x:v>€</x:v>
      </x:c>
      <x:c r="E72" s="155" t="n">
        <x:f>E70-E71</x:f>
        <x:v>6255.619183884298</x:v>
      </x:c>
      <x:c r="F72" s="155" t="n">
        <x:f>F70-F71</x:f>
        <x:v>63033.34224173553</x:v>
      </x:c>
      <x:c r="G72" s="155" t="n">
        <x:f>G70-G71</x:f>
        <x:v>324724.627544938</x:v>
      </x:c>
      <x:c r="H72" s="155" t="n">
        <x:f>H70-H71</x:f>
        <x:v>1170991.073928874</x:v>
      </x:c>
      <x:c r="I72" s="155" t="n">
        <x:f>I70-I71</x:f>
        <x:v>2757668.8947322313</x:v>
      </x:c>
    </x:row>
    <x:row r="73">
      <x:c r="A73" s="1"/>
      <x:c r="B73" s="1"/>
      <x:c r="C73" s="86" t="str"/>
      <x:c r="D73" s="86" t="str"/>
      <x:c r="E73" s="166"/>
      <x:c r="F73" s="166"/>
      <x:c r="G73" s="166"/>
      <x:c r="H73" s="166"/>
      <x:c r="I73" s="166"/>
    </x:row>
    <x:row r="74">
      <x:c r="A74" s="1"/>
      <x:c r="B74" s="1"/>
      <x:c r="C74" s="86" t="str">
        <x:v>Producto y tecnología</x:v>
      </x:c>
      <x:c r="D74" s="86" t="str">
        <x:v>€</x:v>
      </x:c>
      <x:c r="E74" s="166" t="n">
        <x:f>'Supuestos'!D47*'Supuestos'!D43</x:f>
        <x:v>100000</x:v>
      </x:c>
      <x:c r="F74" s="166" t="n">
        <x:f>'Supuestos'!E47*'Supuestos'!E43</x:f>
        <x:v>180000</x:v>
      </x:c>
      <x:c r="G74" s="166" t="n">
        <x:f>'Supuestos'!F47*'Supuestos'!F43</x:f>
        <x:v>300000</x:v>
      </x:c>
      <x:c r="H74" s="166" t="n">
        <x:f>'Supuestos'!G47*'Supuestos'!G43</x:f>
        <x:v>450000</x:v>
      </x:c>
      <x:c r="I74" s="166" t="n">
        <x:f>'Supuestos'!H47*'Supuestos'!H43</x:f>
        <x:v>650000</x:v>
      </x:c>
    </x:row>
    <x:row r="75">
      <x:c r="A75" s="1"/>
      <x:c r="B75" s="1"/>
      <x:c r="C75" s="86" t="str">
        <x:v>Marketing y captación</x:v>
      </x:c>
      <x:c r="D75" s="86" t="str">
        <x:v>€</x:v>
      </x:c>
      <x:c r="E75" s="166" t="n">
        <x:f>'Supuestos'!D48*'Supuestos'!D43</x:f>
        <x:v>40000</x:v>
      </x:c>
      <x:c r="F75" s="166" t="n">
        <x:f>'Supuestos'!E48*'Supuestos'!E43</x:f>
        <x:v>140000</x:v>
      </x:c>
      <x:c r="G75" s="166" t="n">
        <x:f>'Supuestos'!F48*'Supuestos'!F43</x:f>
        <x:v>320000</x:v>
      </x:c>
      <x:c r="H75" s="166" t="n">
        <x:f>'Supuestos'!G48*'Supuestos'!G43</x:f>
        <x:v>650000</x:v>
      </x:c>
      <x:c r="I75" s="166" t="n">
        <x:f>'Supuestos'!H48*'Supuestos'!H43</x:f>
        <x:v>1000000</x:v>
      </x:c>
    </x:row>
    <x:row r="76">
      <x:c r="A76" s="1"/>
      <x:c r="B76" s="1"/>
      <x:c r="C76" s="86" t="str">
        <x:v>Operaciones y soporte</x:v>
      </x:c>
      <x:c r="D76" s="86" t="str">
        <x:v>€</x:v>
      </x:c>
      <x:c r="E76" s="166" t="n">
        <x:f>'Supuestos'!D49*'Supuestos'!D43</x:f>
        <x:v>55000</x:v>
      </x:c>
      <x:c r="F76" s="166" t="n">
        <x:f>'Supuestos'!E49*'Supuestos'!E43</x:f>
        <x:v>100000</x:v>
      </x:c>
      <x:c r="G76" s="166" t="n">
        <x:f>'Supuestos'!F49*'Supuestos'!F43</x:f>
        <x:v>180000</x:v>
      </x:c>
      <x:c r="H76" s="166" t="n">
        <x:f>'Supuestos'!G49*'Supuestos'!G43</x:f>
        <x:v>320000</x:v>
      </x:c>
      <x:c r="I76" s="166" t="n">
        <x:f>'Supuestos'!H49*'Supuestos'!H43</x:f>
        <x:v>500000</x:v>
      </x:c>
    </x:row>
    <x:row r="77">
      <x:c r="A77" s="1"/>
      <x:c r="B77" s="1"/>
      <x:c r="C77" s="86" t="str">
        <x:v>Administración, legal y seguros</x:v>
      </x:c>
      <x:c r="D77" s="86" t="str">
        <x:v>€</x:v>
      </x:c>
      <x:c r="E77" s="166" t="n">
        <x:f>'Supuestos'!D50*'Supuestos'!D43</x:f>
        <x:v>35000</x:v>
      </x:c>
      <x:c r="F77" s="166" t="n">
        <x:f>'Supuestos'!E50*'Supuestos'!E43</x:f>
        <x:v>55000</x:v>
      </x:c>
      <x:c r="G77" s="166" t="n">
        <x:f>'Supuestos'!F50*'Supuestos'!F43</x:f>
        <x:v>85000</x:v>
      </x:c>
      <x:c r="H77" s="166" t="n">
        <x:f>'Supuestos'!G50*'Supuestos'!G43</x:f>
        <x:v>135000</x:v>
      </x:c>
      <x:c r="I77" s="166" t="n">
        <x:f>'Supuestos'!H50*'Supuestos'!H43</x:f>
        <x:v>200000</x:v>
      </x:c>
    </x:row>
    <x:row r="78">
      <x:c r="A78" s="1"/>
      <x:c r="B78" s="1"/>
      <x:c r="C78" s="99" t="str">
        <x:v>Gasto operativo total</x:v>
      </x:c>
      <x:c r="D78" s="99" t="str">
        <x:v>€</x:v>
      </x:c>
      <x:c r="E78" s="155" t="n">
        <x:f>SUM(E74:E77)</x:f>
        <x:v>230000</x:v>
      </x:c>
      <x:c r="F78" s="155" t="n">
        <x:f>SUM(F74:F77)</x:f>
        <x:v>475000</x:v>
      </x:c>
      <x:c r="G78" s="155" t="n">
        <x:f>SUM(G74:G77)</x:f>
        <x:v>885000</x:v>
      </x:c>
      <x:c r="H78" s="155" t="n">
        <x:f>SUM(H74:H77)</x:f>
        <x:v>1555000</x:v>
      </x:c>
      <x:c r="I78" s="155" t="n">
        <x:f>SUM(I74:I77)</x:f>
        <x:v>2350000</x:v>
      </x:c>
    </x:row>
    <x:row r="79">
      <x:c r="A79" s="1"/>
      <x:c r="B79" s="1"/>
      <x:c r="C79" s="86" t="str"/>
      <x:c r="D79" s="86" t="str"/>
      <x:c r="E79" s="166"/>
      <x:c r="F79" s="166"/>
      <x:c r="G79" s="166"/>
      <x:c r="H79" s="166"/>
      <x:c r="I79" s="166"/>
    </x:row>
    <x:row r="80">
      <x:c r="A80" s="1"/>
      <x:c r="B80" s="1"/>
      <x:c r="C80" s="139" t="str">
        <x:v>EBITDA</x:v>
      </x:c>
      <x:c r="D80" s="139" t="str">
        <x:v>€</x:v>
      </x:c>
      <x:c r="E80" s="167" t="n">
        <x:f>E72-E78</x:f>
        <x:v>-223744.3808161157</x:v>
      </x:c>
      <x:c r="F80" s="167" t="n">
        <x:f>F72-F78</x:f>
        <x:v>-411966.65775826445</x:v>
      </x:c>
      <x:c r="G80" s="167" t="n">
        <x:f>G72-G78</x:f>
        <x:v>-560275.372455062</x:v>
      </x:c>
      <x:c r="H80" s="167" t="n">
        <x:f>H72-H78</x:f>
        <x:v>-384008.926071126</x:v>
      </x:c>
      <x:c r="I80" s="167" t="n">
        <x:f>I72-I78</x:f>
        <x:v>407668.8947322313</x:v>
      </x:c>
    </x:row>
    <x:row r="81">
      <x:c r="A81" s="1"/>
      <x:c r="B81" s="1"/>
      <x:c r="C81" s="101" t="str">
        <x:v>Margen EBITDA / ingresos netos</x:v>
      </x:c>
      <x:c r="D81" s="101" t="str">
        <x:v>%</x:v>
      </x:c>
      <x:c r="E81" s="168" t="n">
        <x:f>IF(E28=0,"",E80/E28)</x:f>
        <x:v>-29.36182428149233</x:v>
      </x:c>
      <x:c r="F81" s="168" t="n">
        <x:f>IF(F28=0,"",F80/F28)</x:f>
        <x:v>-5.515223144828922</x:v>
      </x:c>
      <x:c r="G81" s="168" t="n">
        <x:f>IF(G28=0,"",G80/G28)</x:f>
        <x:v>-1.4564491432890796</x:v>
      </x:c>
      <x:c r="H81" s="168" t="n">
        <x:f>IF(H28=0,"",H80/H28)</x:f>
        <x:v>-0.27690447494936193</x:v>
      </x:c>
      <x:c r="I81" s="168" t="n">
        <x:f>IF(I28=0,"",I80/I28)</x:f>
        <x:v>0.12486414795195495</x:v>
      </x:c>
    </x:row>
    <x:row r="82">
      <x:c r="A82" s="1"/>
      <x:c r="B82" s="1"/>
      <x:c r="C82" s="101" t="str">
        <x:v>EBITDA acumulado</x:v>
      </x:c>
      <x:c r="D82" s="101" t="str">
        <x:v>€</x:v>
      </x:c>
      <x:c r="E82" s="156" t="n">
        <x:f>E80</x:f>
        <x:v>-223744.3808161157</x:v>
      </x:c>
      <x:c r="F82" s="156" t="n">
        <x:f>E82+F80</x:f>
        <x:v>-635711.0385743801</x:v>
      </x:c>
      <x:c r="G82" s="156" t="n">
        <x:f>F82+G80</x:f>
        <x:v>-1195986.4110294422</x:v>
      </x:c>
      <x:c r="H82" s="156" t="n">
        <x:f>G82+H80</x:f>
        <x:v>-1579995.3371005682</x:v>
      </x:c>
      <x:c r="I82" s="156" t="n">
        <x:f>H82+I80</x:f>
        <x:v>-1172326.442368337</x:v>
      </x:c>
    </x:row>
    <x:row r="83">
      <x:c r="A83" s="1"/>
      <x:c r="B83" s="1"/>
      <x:c r="C83" s="101" t="str">
        <x:v>Déficit EBITDA acumulado (no caja)</x:v>
      </x:c>
      <x:c r="D83" s="101" t="str">
        <x:v>€</x:v>
      </x:c>
      <x:c r="E83" s="156" t="n">
        <x:f>MAX(0,-E82)</x:f>
        <x:v>223744.3808161157</x:v>
      </x:c>
      <x:c r="F83" s="156" t="n">
        <x:f>MAX(0,-F82)</x:f>
        <x:v>635711.0385743801</x:v>
      </x:c>
      <x:c r="G83" s="156" t="n">
        <x:f>MAX(0,-G82)</x:f>
        <x:v>1195986.4110294422</x:v>
      </x:c>
      <x:c r="H83" s="156" t="n">
        <x:f>MAX(0,-H82)</x:f>
        <x:v>1579995.3371005682</x:v>
      </x:c>
      <x:c r="I83" s="156" t="n">
        <x:f>MAX(0,-I82)</x:f>
        <x:v>1172326.442368337</x:v>
      </x:c>
    </x:row>
    <x:row r="84">
      <x:c r="A84" s="1"/>
      <x:c r="B84" s="1"/>
      <x:c r="C84" s="86"/>
      <x:c r="D84" s="86"/>
      <x:c r="E84" s="166"/>
      <x:c r="F84" s="166"/>
      <x:c r="G84" s="166"/>
      <x:c r="H84" s="166"/>
      <x:c r="I84" s="166"/>
    </x:row>
    <x:row r="85">
      <x:c r="A85" s="1"/>
      <x:c r="B85" s="1"/>
      <x:c r="C85" s="92" t="str">
        <x:v>Controles</x:v>
      </x:c>
      <x:c r="D85" s="93"/>
      <x:c r="E85" s="169"/>
      <x:c r="F85" s="169"/>
      <x:c r="G85" s="169"/>
      <x:c r="H85" s="169"/>
      <x:c r="I85" s="170"/>
    </x:row>
    <x:row r="86">
      <x:c r="A86" s="1"/>
      <x:c r="B86" s="1"/>
      <x:c r="C86" s="86"/>
      <x:c r="D86" s="86"/>
      <x:c r="E86" s="166"/>
      <x:c r="F86" s="166"/>
      <x:c r="G86" s="166"/>
      <x:c r="H86" s="166"/>
      <x:c r="I86" s="166"/>
    </x:row>
    <x:row r="87">
      <x:c r="A87" s="1"/>
      <x:c r="B87" s="1"/>
      <x:c r="C87" s="86" t="str">
        <x:v>Descuadre de caja</x:v>
      </x:c>
      <x:c r="D87" s="86" t="str">
        <x:v>€</x:v>
      </x:c>
      <x:c r="E87" s="154" t="n">
        <x:f>E22-E25-E26-E31</x:f>
        <x:v>0</x:v>
      </x:c>
      <x:c r="F87" s="154" t="n">
        <x:f>F22-F25-F26-F31</x:f>
        <x:v>0</x:v>
      </x:c>
      <x:c r="G87" s="154" t="n">
        <x:f>G22-G25-G26-G31</x:f>
        <x:v>0</x:v>
      </x:c>
      <x:c r="H87" s="154" t="n">
        <x:f>H22-H25-H26-H31</x:f>
        <x:v>0</x:v>
      </x:c>
      <x:c r="I87" s="154" t="n">
        <x:f>I22-I25-I26-I31</x:f>
        <x:v>0</x:v>
      </x:c>
    </x:row>
    <x:row r="88">
      <x:c r="A88" s="1"/>
      <x:c r="B88" s="1"/>
      <x:c r="C88" s="86" t="str">
        <x:v>Descuadre pago proveedor</x:v>
      </x:c>
      <x:c r="D88" s="86" t="str">
        <x:v>€</x:v>
      </x:c>
      <x:c r="E88" s="154" t="n">
        <x:f>E17*'Supuestos'!D60-E24-E25</x:f>
        <x:v>0</x:v>
      </x:c>
      <x:c r="F88" s="154" t="n">
        <x:f>F17*'Supuestos'!E60-F24-F25</x:f>
        <x:v>0</x:v>
      </x:c>
      <x:c r="G88" s="154" t="n">
        <x:f>G17*'Supuestos'!F60-G24-G25</x:f>
        <x:v>0</x:v>
      </x:c>
      <x:c r="H88" s="154" t="n">
        <x:f>H17*'Supuestos'!G60-H24-H25</x:f>
        <x:v>0</x:v>
      </x:c>
      <x:c r="I88" s="154" t="n">
        <x:f>I17*'Supuestos'!H60-I24-I25</x:f>
        <x:v>0</x:v>
      </x:c>
    </x:row>
    <x:row r="89">
      <x:c r="A89" s="1"/>
      <x:c r="B89" s="1"/>
      <x:c r="C89" s="86" t="str">
        <x:v>Estado del modelo</x:v>
      </x:c>
      <x:c r="D89" s="86" t="str"/>
      <x:c r="E89" s="171" t="str">
        <x:f>IF(ABS(E87)+ABS(E88)&lt;0.01,"OK","Revisar")</x:f>
        <x:v>OK</x:v>
      </x:c>
      <x:c r="F89" s="171" t="str">
        <x:f>IF(ABS(F87)+ABS(F88)&lt;0.01,"OK","Revisar")</x:f>
        <x:v>OK</x:v>
      </x:c>
      <x:c r="G89" s="171" t="str">
        <x:f>IF(ABS(G87)+ABS(G88)&lt;0.01,"OK","Revisar")</x:f>
        <x:v>OK</x:v>
      </x:c>
      <x:c r="H89" s="171" t="str">
        <x:f>IF(ABS(H87)+ABS(H88)&lt;0.01,"OK","Revisar")</x:f>
        <x:v>OK</x:v>
      </x:c>
      <x:c r="I89" s="171" t="str">
        <x:f>IF(ABS(I87)+ABS(I88)&lt;0.01,"OK","Revisar")</x:f>
        <x:v>OK</x:v>
      </x:c>
    </x:row>
  </x:sheetData>
  <x:conditionalFormatting sqref="E80:I80">
    <x:cfRule type="cellIs" dxfId="0" priority="1" operator="lessThan">
      <x:formula>0</x:formula>
    </x:cfRule>
    <x:cfRule type="cellIs" dxfId="1" priority="2" operator="greaterThanOrEqual">
      <x:formula>0</x:formula>
    </x:cfRule>
  </x:conditionalFormatting>
  <x:conditionalFormatting sqref="E89:I89">
    <x:cfRule type="containsText" dxfId="2" priority="3" operator="containsText" text="Revisar"/>
    <x:cfRule type="containsText" dxfId="3" priority="4" operator="containsText" text="OK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28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</x:cols>
  <x:sheetData>
    <x:row r="1">
      <x:c r="A1" s="1"/>
      <x:c r="B1" s="1"/>
      <x:c r="C1" s="86"/>
      <x:c r="D1" s="86"/>
      <x:c r="E1" s="86"/>
      <x:c r="F1" s="86"/>
      <x:c r="G1" s="86"/>
      <x:c r="H1" s="86"/>
      <x:c r="I1" s="86"/>
      <x:c r="J1" s="86"/>
      <x:c r="K1" s="86"/>
      <x:c r="L1" s="86"/>
      <x:c r="M1" s="86"/>
    </x:row>
    <x:row r="2">
      <x:c r="A2" s="1"/>
      <x:c r="B2" s="1"/>
      <x:c r="C2" s="87" t="str">
        <x:v>Diime — Unit economics por trabajo</x:v>
      </x:c>
      <x:c r="D2" s="88"/>
      <x:c r="E2" s="88"/>
      <x:c r="F2" s="88"/>
      <x:c r="G2" s="88"/>
      <x:c r="H2" s="88"/>
      <x:c r="I2" s="88"/>
      <x:c r="J2" s="88"/>
      <x:c r="K2" s="88"/>
      <x:c r="L2" s="88"/>
      <x:c r="M2" s="88"/>
    </x:row>
    <x:row r="3">
      <x:c r="A3" s="1"/>
      <x:c r="B3" s="1"/>
      <x:c r="C3" s="144" t="str">
        <x:v>Sin promociones ni devoluciones. El coste mensual de cuenta se reparte entre los trabajos del profesional durante ese mes.</x:v>
      </x:c>
      <x:c r="D3" s="144"/>
      <x:c r="E3" s="144"/>
      <x:c r="F3" s="144"/>
      <x:c r="G3" s="144"/>
      <x:c r="H3" s="144"/>
      <x:c r="I3" s="144"/>
      <x:c r="J3" s="144"/>
      <x:c r="K3" s="144"/>
      <x:c r="L3" s="144"/>
      <x:c r="M3" s="144"/>
    </x:row>
    <x:row r="4">
      <x:c r="A4" s="1"/>
      <x:c r="B4" s="1"/>
      <x:c r="C4" s="86"/>
      <x:c r="D4" s="86"/>
      <x:c r="E4" s="86"/>
      <x:c r="F4" s="86"/>
      <x:c r="G4" s="86"/>
      <x:c r="H4" s="86"/>
      <x:c r="I4" s="86"/>
      <x:c r="J4" s="86"/>
      <x:c r="K4" s="86"/>
      <x:c r="L4" s="86"/>
      <x:c r="M4" s="86"/>
    </x:row>
    <x:row r="5">
      <x:c r="A5" s="1"/>
      <x:c r="B5" s="1"/>
      <x:c r="C5" s="86"/>
      <x:c r="D5" s="86"/>
      <x:c r="E5" s="86"/>
      <x:c r="F5" s="86"/>
      <x:c r="G5" s="86"/>
      <x:c r="H5" s="86"/>
      <x:c r="I5" s="86"/>
      <x:c r="J5" s="86"/>
      <x:c r="K5" s="86"/>
      <x:c r="L5" s="86"/>
      <x:c r="M5" s="86"/>
    </x:row>
    <x:row r="6">
      <x:c r="A6" s="1"/>
      <x:c r="B6" s="1"/>
      <x:c r="C6" s="86" t="str">
        <x:v>Trabajos por profesional y mes</x:v>
      </x:c>
      <x:c r="D6" s="129" t="n">
        <x:v>1</x:v>
      </x:c>
      <x:c r="E6" s="86"/>
      <x:c r="F6" s="86"/>
      <x:c r="G6" s="86"/>
      <x:c r="H6" s="86"/>
      <x:c r="I6" s="86"/>
      <x:c r="J6" s="86"/>
      <x:c r="K6" s="86"/>
      <x:c r="L6" s="86"/>
      <x:c r="M6" s="86"/>
    </x:row>
    <x:row r="7">
      <x:c r="A7" s="1"/>
      <x:c r="B7" s="1"/>
      <x:c r="C7" s="86"/>
      <x:c r="D7" s="86"/>
      <x:c r="E7" s="86"/>
      <x:c r="F7" s="86"/>
      <x:c r="G7" s="86"/>
      <x:c r="H7" s="86"/>
      <x:c r="I7" s="86"/>
      <x:c r="J7" s="86"/>
      <x:c r="K7" s="86"/>
      <x:c r="L7" s="86"/>
      <x:c r="M7" s="86"/>
    </x:row>
    <x:row r="8" ht="48" customHeight="1">
      <x:c r="A8" s="1"/>
      <x:c r="B8" s="1"/>
      <x:c r="C8" s="82" t="str">
        <x:v>Precio acordado</x:v>
      </x:c>
      <x:c r="D8" s="82" t="str">
        <x:v>Cliente paga</x:v>
      </x:c>
      <x:c r="E8" s="82" t="str">
        <x:v>Proveedor recibe</x:v>
      </x:c>
      <x:c r="F8" s="82" t="str">
        <x:v>Comisiones brutas</x:v>
      </x:c>
      <x:c r="G8" s="82" t="str">
        <x:v>IVA</x:v>
      </x:c>
      <x:c r="H8" s="82" t="str">
        <x:v>Ingreso neto</x:v>
      </x:c>
      <x:c r="I8" s="82" t="str">
        <x:v>Stripe</x:v>
      </x:c>
      <x:c r="J8" s="82" t="str">
        <x:v>Contribución Stripe tras riesgo</x:v>
      </x:c>
      <x:c r="K8" s="82" t="str">
        <x:v>Stripe / ingreso</x:v>
      </x:c>
      <x:c r="L8" s="82" t="str">
        <x:v>Mollie</x:v>
      </x:c>
      <x:c r="M8" s="82" t="str">
        <x:v>Contribución Mollie tras riesgo</x:v>
      </x:c>
    </x:row>
    <x:row r="9">
      <x:c r="A9" s="1"/>
      <x:c r="B9" s="1"/>
      <x:c r="C9" s="186" t="n">
        <x:v>100</x:v>
      </x:c>
      <x:c r="D9" s="187" t="n">
        <x:f>C9+MAX(C9*'Supuestos'!D55,'Supuestos'!D58)</x:f>
        <x:v>110</x:v>
      </x:c>
      <x:c r="E9" s="187" t="n">
        <x:f>C9-MIN(C9,MAX(C9*'Supuestos'!D56,'Supuestos'!D58))</x:f>
        <x:v>90</x:v>
      </x:c>
      <x:c r="F9" s="187" t="n">
        <x:f>D9-C9+C9-E9</x:f>
        <x:v>20</x:v>
      </x:c>
      <x:c r="G9" s="187" t="n">
        <x:f>IF('Supuestos'!$J$6="Sí",F9-F9/(1+'Supuestos'!D62),0)</x:f>
        <x:v>3.4710743801652875</x:v>
      </x:c>
      <x:c r="H9" s="187" t="n">
        <x:f>F9-G9</x:f>
        <x:v>16.528925619834713</x:v>
      </x:c>
      <x:c r="I9" s="187" t="n">
        <x:f>D9*'Supuestos'!D67+'Supuestos'!D68+E9*'Supuestos'!D69+'Supuestos'!D70+'Supuestos'!D71/$D$6</x:f>
        <x:v>4.225</x:v>
      </x:c>
      <x:c r="J9" s="187" t="n">
        <x:f>H9-I9-C9*'Supuestos'!D63</x:f>
        <x:v>11.803925619834713</x:v>
      </x:c>
      <x:c r="K9" s="188" t="n">
        <x:f>I9/H9</x:f>
        <x:v>0.25561249999999996</x:v>
      </x:c>
      <x:c r="L9" s="187" t="n">
        <x:f>D9*('Supuestos'!D76*'Supuestos'!D77+(1-'Supuestos'!D76)*'Supuestos'!D78)+'Supuestos'!D79+E9*'Supuestos'!D80+'Supuestos'!D81/$D$6</x:f>
        <x:v>3.6319999999999997</x:v>
      </x:c>
      <x:c r="M9" s="187" t="n">
        <x:f>H9-L9-C9*'Supuestos'!D63</x:f>
        <x:v>12.396925619834713</x:v>
      </x:c>
    </x:row>
    <x:row r="10">
      <x:c r="A10" s="1"/>
      <x:c r="B10" s="1"/>
      <x:c r="C10" s="186" t="n">
        <x:v>500</x:v>
      </x:c>
      <x:c r="D10" s="187" t="n">
        <x:f>C10+MAX(C10*'Supuestos'!D55,'Supuestos'!D58)</x:f>
        <x:v>550</x:v>
      </x:c>
      <x:c r="E10" s="187" t="n">
        <x:f>C10-MIN(C10,MAX(C10*'Supuestos'!D56,'Supuestos'!D58))</x:f>
        <x:v>450</x:v>
      </x:c>
      <x:c r="F10" s="187" t="n">
        <x:f>D10-C10+C10-E10</x:f>
        <x:v>100</x:v>
      </x:c>
      <x:c r="G10" s="187" t="n">
        <x:f>IF('Supuestos'!$J$6="Sí",F10-F10/(1+'Supuestos'!D62),0)</x:f>
        <x:v>17.35537190082644</x:v>
      </x:c>
      <x:c r="H10" s="187" t="n">
        <x:f>F10-G10</x:f>
        <x:v>82.64462809917356</x:v>
      </x:c>
      <x:c r="I10" s="187" t="n">
        <x:f>D10*'Supuestos'!D67+'Supuestos'!D68+E10*'Supuestos'!D69+'Supuestos'!D70+'Supuestos'!D71/$D$6</x:f>
        <x:v>11.725</x:v>
      </x:c>
      <x:c r="J10" s="187" t="n">
        <x:f>H10-I10-C10*'Supuestos'!D63</x:f>
        <x:v>68.41962809917356</x:v>
      </x:c>
      <x:c r="K10" s="188" t="n">
        <x:f>I10/H10</x:f>
        <x:v>0.14187249999999998</x:v>
      </x:c>
      <x:c r="L10" s="187" t="n">
        <x:f>D10*('Supuestos'!D76*'Supuestos'!D77+(1-'Supuestos'!D76)*'Supuestos'!D78)+'Supuestos'!D79+E10*'Supuestos'!D80+'Supuestos'!D81/$D$6</x:f>
        <x:v>10.16</x:v>
      </x:c>
      <x:c r="M10" s="187" t="n">
        <x:f>H10-L10-C10*'Supuestos'!D63</x:f>
        <x:v>69.98462809917356</x:v>
      </x:c>
    </x:row>
    <x:row r="11">
      <x:c r="A11" s="1"/>
      <x:c r="B11" s="1"/>
      <x:c r="C11" s="186" t="n">
        <x:v>1500</x:v>
      </x:c>
      <x:c r="D11" s="187" t="n">
        <x:f>C11+MAX(C11*'Supuestos'!D55,'Supuestos'!D58)</x:f>
        <x:v>1650</x:v>
      </x:c>
      <x:c r="E11" s="187" t="n">
        <x:f>C11-MIN(C11,MAX(C11*'Supuestos'!D56,'Supuestos'!D58))</x:f>
        <x:v>1350</x:v>
      </x:c>
      <x:c r="F11" s="187" t="n">
        <x:f>D11-C11+C11-E11</x:f>
        <x:v>300</x:v>
      </x:c>
      <x:c r="G11" s="187" t="n">
        <x:f>IF('Supuestos'!$J$6="Sí",F11-F11/(1+'Supuestos'!D62),0)</x:f>
        <x:v>52.06611570247932</x:v>
      </x:c>
      <x:c r="H11" s="187" t="n">
        <x:f>F11-G11</x:f>
        <x:v>247.93388429752068</x:v>
      </x:c>
      <x:c r="I11" s="187" t="n">
        <x:f>D11*'Supuestos'!D67+'Supuestos'!D68+E11*'Supuestos'!D69+'Supuestos'!D70+'Supuestos'!D71/$D$6</x:f>
        <x:v>30.475</x:v>
      </x:c>
      <x:c r="J11" s="187" t="n">
        <x:f>H11-I11-C11*'Supuestos'!D63</x:f>
        <x:v>209.95888429752068</x:v>
      </x:c>
      <x:c r="K11" s="188" t="n">
        <x:f>I11/H11</x:f>
        <x:v>0.12291583333333334</x:v>
      </x:c>
      <x:c r="L11" s="187" t="n">
        <x:f>D11*('Supuestos'!D76*'Supuestos'!D77+(1-'Supuestos'!D76)*'Supuestos'!D78)+'Supuestos'!D79+E11*'Supuestos'!D80+'Supuestos'!D81/$D$6</x:f>
        <x:v>26.48</x:v>
      </x:c>
      <x:c r="M11" s="187" t="n">
        <x:f>H11-L11-C11*'Supuestos'!D63</x:f>
        <x:v>213.9538842975207</x:v>
      </x:c>
    </x:row>
    <x:row r="12">
      <x:c r="A12" s="1"/>
      <x:c r="B12" s="1"/>
      <x:c r="C12" s="186" t="n">
        <x:v>5000</x:v>
      </x:c>
      <x:c r="D12" s="187" t="n">
        <x:f>C12+MAX(C12*'Supuestos'!D55,'Supuestos'!D58)</x:f>
        <x:v>5500</x:v>
      </x:c>
      <x:c r="E12" s="187" t="n">
        <x:f>C12-MIN(C12,MAX(C12*'Supuestos'!D56,'Supuestos'!D58))</x:f>
        <x:v>4500</x:v>
      </x:c>
      <x:c r="F12" s="187" t="n">
        <x:f>D12-C12+C12-E12</x:f>
        <x:v>1000</x:v>
      </x:c>
      <x:c r="G12" s="187" t="n">
        <x:f>IF('Supuestos'!$J$6="Sí",F12-F12/(1+'Supuestos'!D62),0)</x:f>
        <x:v>173.55371900826447</x:v>
      </x:c>
      <x:c r="H12" s="187" t="n">
        <x:f>F12-G12</x:f>
        <x:v>826.4462809917355</x:v>
      </x:c>
      <x:c r="I12" s="187" t="n">
        <x:f>D12*'Supuestos'!D67+'Supuestos'!D68+E12*'Supuestos'!D69+'Supuestos'!D70+'Supuestos'!D71/$D$6</x:f>
        <x:v>96.1</x:v>
      </x:c>
      <x:c r="J12" s="187" t="n">
        <x:f>H12-I12-C12*'Supuestos'!D63</x:f>
        <x:v>705.3462809917355</x:v>
      </x:c>
      <x:c r="K12" s="188" t="n">
        <x:f>I12/H12</x:f>
        <x:v>0.116281</x:v>
      </x:c>
      <x:c r="L12" s="187" t="n">
        <x:f>D12*('Supuestos'!D76*'Supuestos'!D77+(1-'Supuestos'!D76)*'Supuestos'!D78)+'Supuestos'!D79+E12*'Supuestos'!D80+'Supuestos'!D81/$D$6</x:f>
        <x:v>83.6</x:v>
      </x:c>
      <x:c r="M12" s="187" t="n">
        <x:f>H12-L12-C12*'Supuestos'!D63</x:f>
        <x:v>717.8462809917355</x:v>
      </x:c>
    </x:row>
    <x:row r="13">
      <x:c r="A13" s="1"/>
      <x:c r="B13" s="1"/>
      <x:c r="C13" s="86"/>
      <x:c r="D13" s="86"/>
      <x:c r="E13" s="86"/>
      <x:c r="F13" s="86"/>
      <x:c r="G13" s="86"/>
      <x:c r="H13" s="86"/>
      <x:c r="I13" s="86"/>
      <x:c r="J13" s="86"/>
      <x:c r="K13" s="86"/>
      <x:c r="L13" s="86"/>
      <x:c r="M13" s="86"/>
    </x:row>
    <x:row r="14" ht="32" customHeight="1">
      <x:c r="A14" s="1"/>
      <x:c r="B14" s="1"/>
      <x:c r="C14" s="107" t="str">
        <x:v>Interpretación</x:v>
      </x:c>
      <x:c r="D14" s="108" t="str">
        <x:v>Con un trabajo de 100 €, Diime cobra 20 € brutos, pero solo 16,53 € son ingreso si la comisión incluye IVA. Tras Stripe y una provisión de riesgo del 0,5% del GMV, quedan aproximadamente 11,80 € antes de CAC, soporte y estructura.</x:v>
      </x:c>
      <x:c r="E14" s="108"/>
      <x:c r="F14" s="108"/>
      <x:c r="G14" s="108"/>
      <x:c r="H14" s="108"/>
      <x:c r="I14" s="108"/>
      <x:c r="J14" s="108"/>
      <x:c r="K14" s="108"/>
      <x:c r="L14" s="108"/>
      <x:c r="M14" s="109"/>
    </x:row>
    <x:row r="15" ht="32" customHeight="1">
      <x:c r="A15" s="1"/>
      <x:c r="B15" s="1"/>
      <x:c r="C15" s="110" t="str">
        <x:v>Escala</x:v>
      </x:c>
      <x:c r="D15" s="111" t="str">
        <x:v>El coste de 2 € de cuenta Stripe se amortiza al agrupar varios trabajos del mismo profesional en un payout mensual.</x:v>
      </x:c>
      <x:c r="E15" s="111"/>
      <x:c r="F15" s="111"/>
      <x:c r="G15" s="111"/>
      <x:c r="H15" s="111"/>
      <x:c r="I15" s="111"/>
      <x:c r="J15" s="111"/>
      <x:c r="K15" s="111"/>
      <x:c r="L15" s="111"/>
      <x:c r="M15" s="112"/>
    </x:row>
    <x:row r="16" ht="32" customHeight="1">
      <x:c r="A16" s="1"/>
      <x:c r="B16" s="1"/>
      <x:c r="C16" s="113" t="str">
        <x:v>Alcance</x:v>
      </x:c>
      <x:c r="D16" s="114" t="str">
        <x:v>No incluye pérdidas extraordinarias por contracargos, devolución del principal, IVA de facturas del PSP ni precios negociados.</x:v>
      </x:c>
      <x:c r="E16" s="114"/>
      <x:c r="F16" s="114"/>
      <x:c r="G16" s="114"/>
      <x:c r="H16" s="114"/>
      <x:c r="I16" s="114"/>
      <x:c r="J16" s="114"/>
      <x:c r="K16" s="114"/>
      <x:c r="L16" s="114"/>
      <x:c r="M16" s="115"/>
    </x:row>
  </x:sheetData>
  <x:mergeCells>
    <x:mergeCell ref="D14:M14"/>
    <x:mergeCell ref="D15:M15"/>
    <x:mergeCell ref="D16:M16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" hidden="0" customWidth="1"/>
    <x:col min="2" max="2" width="2" hidden="0" customWidth="1"/>
    <x:col min="3" max="3" width="24" hidden="0" customWidth="1"/>
    <x:col min="4" max="4" width="36" hidden="0" customWidth="1"/>
    <x:col min="5" max="5" width="16" hidden="0" customWidth="1"/>
    <x:col min="6" max="6" width="24" hidden="0" customWidth="1"/>
    <x:col min="7" max="7" width="52" hidden="0" customWidth="1"/>
    <x:col min="8" max="8" width="48" hidden="0" customWidth="1"/>
  </x:cols>
  <x:sheetData>
    <x:row r="1">
      <x:c r="A1" s="1"/>
      <x:c r="B1" s="1"/>
      <x:c r="C1" s="86"/>
      <x:c r="D1" s="86"/>
      <x:c r="E1" s="86"/>
      <x:c r="F1" s="86"/>
      <x:c r="G1" s="86"/>
      <x:c r="H1" s="86"/>
    </x:row>
    <x:row r="2">
      <x:c r="A2" s="1"/>
      <x:c r="B2" s="1"/>
      <x:c r="C2" s="87" t="str">
        <x:v>Diime — Fuentes y limitaciones</x:v>
      </x:c>
      <x:c r="D2" s="88"/>
      <x:c r="E2" s="88"/>
      <x:c r="F2" s="88"/>
      <x:c r="G2" s="88"/>
      <x:c r="H2" s="88"/>
    </x:row>
    <x:row r="3">
      <x:c r="A3" s="1"/>
      <x:c r="B3" s="1"/>
      <x:c r="C3" s="144" t="str">
        <x:v>Tarifas consultadas el 5 de septiembre de 2026. Los precios contractuales del dashboard o de una oferta comercial prevalecen.</x:v>
      </x:c>
      <x:c r="D3" s="144"/>
      <x:c r="E3" s="144"/>
      <x:c r="F3" s="144"/>
      <x:c r="G3" s="144"/>
      <x:c r="H3" s="144"/>
    </x:row>
    <x:row r="4">
      <x:c r="A4" s="1"/>
      <x:c r="B4" s="1"/>
      <x:c r="C4" s="86"/>
      <x:c r="D4" s="86"/>
      <x:c r="E4" s="86"/>
      <x:c r="F4" s="86"/>
      <x:c r="G4" s="86"/>
      <x:c r="H4" s="86"/>
    </x:row>
    <x:row r="5">
      <x:c r="A5" s="1"/>
      <x:c r="B5" s="1"/>
      <x:c r="C5" s="86"/>
      <x:c r="D5" s="86"/>
      <x:c r="E5" s="86"/>
      <x:c r="F5" s="86"/>
      <x:c r="G5" s="86"/>
      <x:c r="H5" s="86"/>
    </x:row>
    <x:row r="6">
      <x:c r="A6" s="1"/>
      <x:c r="B6" s="1"/>
      <x:c r="C6" s="17" t="str">
        <x:v>Elemento</x:v>
      </x:c>
      <x:c r="D6" s="17" t="str">
        <x:v>Valor usado</x:v>
      </x:c>
      <x:c r="E6" s="17" t="str">
        <x:v>Periodo</x:v>
      </x:c>
      <x:c r="F6" s="17" t="str">
        <x:v>Fuente</x:v>
      </x:c>
      <x:c r="G6" s="17" t="str">
        <x:v>URL</x:v>
      </x:c>
      <x:c r="H6" s="17" t="str">
        <x:v>Nota</x:v>
      </x:c>
    </x:row>
    <x:row r="7" ht="42" customHeight="1">
      <x:c r="A7" s="1"/>
      <x:c r="B7" s="1"/>
      <x:c r="C7" s="148" t="str">
        <x:v>Piloto Madrid</x:v>
      </x:c>
      <x:c r="D7" s="148" t="str">
        <x:v>15 solicitudes/mes y 20% de conversión</x:v>
      </x:c>
      <x:c r="E7" s="148" t="str">
        <x:v>Punto de partida</x:v>
      </x:c>
      <x:c r="F7" s="148" t="str">
        <x:v>LAUNCH_STRATEGY.md</x:v>
      </x:c>
      <x:c r="G7" s="148" t="str"/>
      <x:c r="H7" s="148" t="str">
        <x:v>Equivale a 3 trabajos pagados al mes; objetivo, no histórico auditado.</x:v>
      </x:c>
    </x:row>
    <x:row r="8" ht="42" customHeight="1">
      <x:c r="A8" s="1"/>
      <x:c r="B8" s="1"/>
      <x:c r="C8" s="148" t="str">
        <x:v>Comisiones Diime</x:v>
      </x:c>
      <x:c r="D8" s="148" t="str">
        <x:v>10% cliente + 10% proveedor; mínimo 2 € por lado</x:v>
      </x:c>
      <x:c r="E8" s="148" t="str">
        <x:v>Configuración objetivo</x:v>
      </x:c>
      <x:c r="F8" s="148" t="str">
        <x:v>lib/comisiones.ts</x:v>
      </x:c>
      <x:c r="G8" s="148" t="str"/>
      <x:c r="H8" s="148" t="str">
        <x:v>El cambio del proveedor al 10% está en el working tree; las ofertas históricas conservan el 5%.</x:v>
      </x:c>
    </x:row>
    <x:row r="9" ht="42" customHeight="1">
      <x:c r="A9" s="1"/>
      <x:c r="B9" s="1"/>
      <x:c r="C9" s="148" t="str">
        <x:v>Ticket base</x:v>
      </x:c>
      <x:c r="D9" s="148" t="str">
        <x:v>1.500 €</x:v>
      </x:c>
      <x:c r="E9" s="148" t="str">
        <x:v>2027</x:v>
      </x:c>
      <x:c r="F9" s="148" t="str">
        <x:v>app/demo/pago/page.tsx</x:v>
      </x:c>
      <x:c r="G9" s="148" t="str"/>
      <x:c r="H9" s="148" t="str">
        <x:v>Valor del demo. No existe ticket medio real; es una hipótesis editable.</x:v>
      </x:c>
    </x:row>
    <x:row r="10" ht="42" customHeight="1">
      <x:c r="A10" s="1"/>
      <x:c r="B10" s="1"/>
      <x:c r="C10" s="148" t="str">
        <x:v>Promoción fundadores</x:v>
      </x:c>
      <x:c r="D10" s="148" t="str">
        <x:v>25% del GMV de 2027 sin comisión proveedor</x:v>
      </x:c>
      <x:c r="E10" s="148" t="str">
        <x:v>2027</x:v>
      </x:c>
      <x:c r="F10" s="148" t="str">
        <x:v>LAUNCH_STRATEGY.md</x:v>
      </x:c>
      <x:c r="G10" s="148" t="str"/>
      <x:c r="H10" s="148" t="str">
        <x:v>Aproxima tres meses de promoción. La promoción todavía no está implementada.</x:v>
      </x:c>
    </x:row>
    <x:row r="11" ht="42" customHeight="1">
      <x:c r="A11" s="1"/>
      <x:c r="B11" s="1"/>
      <x:c r="C11" s="148" t="str">
        <x:v>Stripe Payments</x:v>
      </x:c>
      <x:c r="D11" s="148" t="str">
        <x:v>1,5% + 0,25 €</x:v>
      </x:c>
      <x:c r="E11" s="148" t="str">
        <x:v>Tarifa pública</x:v>
      </x:c>
      <x:c r="F11" s="148" t="str">
        <x:v>Stripe</x:v>
      </x:c>
      <x:c r="G11" s="148" t="str">
        <x:v>https://stripe.com/es/pricing</x:v>
      </x:c>
      <x:c r="H11" s="148" t="str">
        <x:v>Tarjeta estándar del EEE.</x:v>
      </x:c>
    </x:row>
    <x:row r="12" ht="42" customHeight="1">
      <x:c r="A12" s="1"/>
      <x:c r="B12" s="1"/>
      <x:c r="C12" s="148" t="str">
        <x:v>Stripe Connect</x:v>
      </x:c>
      <x:c r="D12" s="148" t="str">
        <x:v>2 €/cuenta activa/mes + 0,25% + 0,10 € por payout</x:v>
      </x:c>
      <x:c r="E12" s="148" t="str">
        <x:v>Tarifa pública</x:v>
      </x:c>
      <x:c r="F12" s="148" t="str">
        <x:v>Stripe</x:v>
      </x:c>
      <x:c r="G12" s="148" t="str">
        <x:v>https://stripe.com/en-es/connect/pricing</x:v>
      </x:c>
      <x:c r="H12" s="148" t="str">
        <x:v>Un Transfer interno no es un segundo cobro con tarjeta.</x:v>
      </x:c>
    </x:row>
    <x:row r="13" ht="42" customHeight="1">
      <x:c r="A13" s="1"/>
      <x:c r="B13" s="1"/>
      <x:c r="C13" s="148" t="str">
        <x:v>Mollie tarjetas</x:v>
      </x:c>
      <x:c r="D13" s="148" t="str">
        <x:v>1,2% nacional; 1,8% otra EEE + 0,25 €</x:v>
      </x:c>
      <x:c r="E13" s="148" t="str">
        <x:v>Tarifa pública</x:v>
      </x:c>
      <x:c r="F13" s="148" t="str">
        <x:v>Mollie</x:v>
      </x:c>
      <x:c r="G13" s="148" t="str">
        <x:v>https://www.mollie.com/es/pricing</x:v>
      </x:c>
      <x:c r="H13" s="148" t="str">
        <x:v>El modelo usa 80% de tarjetas españolas y 20% de otras tarjetas EEE.</x:v>
      </x:c>
    </x:row>
    <x:row r="14" ht="42" customHeight="1">
      <x:c r="A14" s="1"/>
      <x:c r="B14" s="1"/>
      <x:c r="C14" s="148" t="str">
        <x:v>Mollie Split</x:v>
      </x:c>
      <x:c r="D14" s="148" t="str">
        <x:v>1,75 €/cuenta activa/mes + 0,20% routed</x:v>
      </x:c>
      <x:c r="E14" s="148" t="str">
        <x:v>Tarifa pública orientativa</x:v>
      </x:c>
      <x:c r="F14" s="148" t="str">
        <x:v>Mollie</x:v>
      </x:c>
      <x:c r="G14" s="148" t="str">
        <x:v>https://help.mollie.com/hc/en-gb/requests/new?ticket_form_id=29335041009426</x:v>
      </x:c>
      <x:c r="H14" s="148" t="str">
        <x:v>Split Payments debe habilitarse; la oferta comercial puede cambiar.</x:v>
      </x:c>
    </x:row>
    <x:row r="15" ht="42" customHeight="1">
      <x:c r="A15" s="1"/>
      <x:c r="B15" s="1"/>
      <x:c r="C15" s="148" t="str">
        <x:v>Mollie delayed routing</x:v>
      </x:c>
      <x:c r="D15" s="148" t="str">
        <x:v>Reparto posterior a confirmar el servicio</x:v>
      </x:c>
      <x:c r="E15" s="148" t="str">
        <x:v>Producto</x:v>
      </x:c>
      <x:c r="F15" s="148" t="str">
        <x:v>Mollie</x:v>
      </x:c>
      <x:c r="G15" s="148" t="str">
        <x:v>https://docs.mollie.com/docs/connect-route-and-split-payments</x:v>
      </x:c>
      <x:c r="H15" s="148" t="str">
        <x:v>Los fondos no enrutados pasan al saldo de la plataforma a los 90 días; validar proyectos largos.</x:v>
      </x:c>
    </x:row>
    <x:row r="16" ht="42" customHeight="1">
      <x:c r="A16" s="1"/>
      <x:c r="B16" s="1"/>
      <x:c r="C16" s="148" t="str">
        <x:v>Lemonway Starter</x:v>
      </x:c>
      <x:c r="D16" s="148" t="str">
        <x:v>1,10% + 0,25 €; payout 0,50 €; soporte 840 €/mes; alta 5.490 €</x:v>
      </x:c>
      <x:c r="E16" s="148" t="str">
        <x:v>Tarifa pública</x:v>
      </x:c>
      <x:c r="F16" s="148" t="str">
        <x:v>Lemonway</x:v>
      </x:c>
      <x:c r="G16" s="148" t="str">
        <x:v>https://www.lemonway.com/en/pricing</x:v>
      </x:c>
      <x:c r="H16" s="148" t="str">
        <x:v>La identificación individual figura a 0,40 €/mes.</x:v>
      </x:c>
    </x:row>
    <x:row r="17" ht="42" customHeight="1">
      <x:c r="A17" s="1"/>
      <x:c r="B17" s="1"/>
      <x:c r="C17" s="148" t="str">
        <x:v>Mangopay</x:v>
      </x:c>
      <x:c r="D17" s="148" t="str">
        <x:v>Precio a medida</x:v>
      </x:c>
      <x:c r="E17" s="148" t="str">
        <x:v>Oferta comercial</x:v>
      </x:c>
      <x:c r="F17" s="148" t="str">
        <x:v>Mangopay</x:v>
      </x:c>
      <x:c r="G17" s="148" t="str">
        <x:v>https://mangopay.com/en/pricing</x:v>
      </x:c>
      <x:c r="H17" s="148" t="str">
        <x:v>No se modela sin una oferta comparable para el caso de uso y volumen de Diime.</x:v>
      </x:c>
    </x:row>
    <x:row r="18" ht="42" customHeight="1">
      <x:c r="A18" s="1"/>
      <x:c r="B18" s="1"/>
      <x:c r="C18" s="148" t="str">
        <x:v>IVA general</x:v>
      </x:c>
      <x:c r="D18" s="148" t="str">
        <x:v>21%</x:v>
      </x:c>
      <x:c r="E18" s="148" t="str">
        <x:v>2026</x:v>
      </x:c>
      <x:c r="F18" s="148" t="str">
        <x:v>Agencia Tributaria</x:v>
      </x:c>
      <x:c r="G18" s="148" t="str">
        <x:v>https://sede.agenciatributaria.gob.es/Sede/iva/calculo-iva-repercutido-clientes/tipos-impositivos-iva.html</x:v>
      </x:c>
      <x:c r="H18" s="148" t="str">
        <x:v>Confirmar con asesor si el 10% mostrado es IVA incluido y la localización fiscal de cada comisión.</x:v>
      </x:c>
    </x:row>
    <x:row r="19" ht="42" customHeight="1">
      <x:c r="A19" s="1"/>
      <x:c r="B19" s="1"/>
      <x:c r="C19" s="148"/>
      <x:c r="D19" s="148"/>
      <x:c r="E19" s="148"/>
      <x:c r="F19" s="148"/>
      <x:c r="G19" s="148"/>
      <x:c r="H19" s="148"/>
    </x:row>
    <x:row r="20" ht="42" customHeight="1">
      <x:c r="A20" s="1"/>
      <x:c r="B20" s="1"/>
      <x:c r="C20" s="149" t="str">
        <x:v>Limitación</x:v>
      </x:c>
      <x:c r="D20" s="150" t="str">
        <x:v>No hay GMV, ticket, CAC, recurrencia ni costes de personal auditados. Desde 2028, los escenarios y el gasto operativo son hipótesis editables sin histórico que los respalde.</x:v>
      </x:c>
      <x:c r="E20" s="150" t="str"/>
      <x:c r="F20" s="150" t="str"/>
      <x:c r="G20" s="150" t="str"/>
      <x:c r="H20" s="150" t="str"/>
    </x:row>
    <x:row r="21" ht="42" customHeight="1">
      <x:c r="A21" s="1"/>
      <x:c r="B21" s="1"/>
      <x:c r="C21" s="149" t="str">
        <x:v>Limitación</x:v>
      </x:c>
      <x:c r="D21" s="150" t="str">
        <x:v>No se modelan impuesto sobre sociedades, financiación, capex ni circulante. Los fondos retenidos de clientes no son caja operativa de Diime.</x:v>
      </x:c>
      <x:c r="E21" s="150" t="str"/>
      <x:c r="F21" s="150" t="str"/>
      <x:c r="G21" s="150" t="str"/>
      <x:c r="H21" s="150" t="str"/>
    </x:row>
    <x:row r="22" ht="42" customHeight="1">
      <x:c r="A22" s="1"/>
      <x:c r="B22" s="1"/>
      <x:c r="C22" s="149" t="str">
        <x:v>Riesgo</x:v>
      </x:c>
      <x:c r="D22" s="150" t="str">
        <x:v>El código no controla actualmente el calendario de payouts bancarios de Stripe; el modelo supone un payout por mes-cuenta activo.</x:v>
      </x:c>
      <x:c r="E22" s="150" t="str"/>
      <x:c r="F22" s="150" t="str"/>
      <x:c r="G22" s="150" t="str"/>
      <x:c r="H22" s="150" t="str"/>
    </x:row>
    <x:row r="23" ht="42" customHeight="1">
      <x:c r="A23" s="1"/>
      <x:c r="B23" s="1"/>
      <x:c r="C23" s="149" t="str">
        <x:v>Riesgo</x:v>
      </x:c>
      <x:c r="D23" s="150" t="str">
        <x:v>La provisión del 0,5% de GMV y el impacto nulo del nuevo 10% sobre conversión/retención son hipótesis iniciales; deben sustituirse por datos del piloto.</x:v>
      </x:c>
      <x:c r="E23" s="150" t="str"/>
      <x:c r="F23" s="150" t="str"/>
      <x:c r="G23" s="150" t="str"/>
      <x:c r="H23" s="150" t="str"/>
    </x:row>
  </x:sheetData>
  <x:pageMargins left="0.7" right="0.7" top="0.75" bottom="0.75" header="0.3" footer="0.3"/>
</x:worksheet>
</file>